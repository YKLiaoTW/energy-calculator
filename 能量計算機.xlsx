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工作表1" sheetId="1" r:id="rId4"/>
    <sheet state="visible" name="工作表2" sheetId="2" r:id="rId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  <author>tc={ff4d4e0e-f2e5-4a78-8305-feaa5a88ea00}</author>
  </authors>
  <commentList>
    <comment authorId="0" ref="I1">
      <text>
        <t xml:space="preserve">算法有對數，不能單純相乘除</t>
      </text>
    </comment>
    <comment authorId="0" ref="B36">
      <text>
        <t xml:space="preserve">中時電子報報導，學運佔領國會21天來，已經造成了包含空轉費用、議場修復、議員薪資等共3.91億元近4億元的損失，可供780萬學童吃營養午餐。</t>
      </text>
    </comment>
    <comment authorId="1" xr:uid="{ff4d4e0e-f2e5-4a78-8305-feaa5a88ea00}" ref="I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http://earthquake.usgs.gov/learn/topics/measure.php
Reply:
	算法待確認
</t>
      </text>
    </comment>
  </commentList>
</comments>
</file>

<file path=xl/sharedStrings.xml><?xml version="1.0" encoding="utf-8"?>
<sst xmlns="http://schemas.openxmlformats.org/spreadsheetml/2006/main" count="82" uniqueCount="75">
  <si>
    <t>資料來源</t>
  </si>
  <si>
    <t>品名</t>
  </si>
  <si>
    <t>焦耳</t>
  </si>
  <si>
    <t>卡 cal</t>
  </si>
  <si>
    <t>爾格</t>
  </si>
  <si>
    <t>電子伏特</t>
  </si>
  <si>
    <t>千瓦小時(度)</t>
  </si>
  <si>
    <t>爆炸當量(1噸TNT)</t>
  </si>
  <si>
    <t>芮氏地震規模</t>
  </si>
  <si>
    <t>USGS 地震矩規模</t>
  </si>
  <si>
    <t>馬力-秒 hp-s</t>
  </si>
  <si>
    <t>左邊是si制和一些基本單位</t>
  </si>
  <si>
    <t>大卡</t>
  </si>
  <si>
    <t>營養午餐(小學高年級)</t>
  </si>
  <si>
    <t>廣島核彈</t>
  </si>
  <si>
    <t>沙皇氫彈</t>
  </si>
  <si>
    <t>太陽花學運</t>
  </si>
  <si>
    <t>慢跑(8km/hr, 體重60kg)幾公里</t>
  </si>
  <si>
    <t>洪荒之力(體重70公斤游泳100米1分00.27秒)</t>
  </si>
  <si>
    <t>幾公斤脂肪 (一公斤9000大卡)</t>
  </si>
  <si>
    <t>台中火力發電廠發電幾小時</t>
  </si>
  <si>
    <t>幾顆天照大神粒子</t>
  </si>
  <si>
    <t>基礎值</t>
  </si>
  <si>
    <t>右邊是好玩的亂算</t>
  </si>
  <si>
    <t>http://cpd.moe.gov.tw/health/content.php?cid=153&amp;catalogid=2&amp;flag=999</t>
  </si>
  <si>
    <t>營養午餐 (小學1-3年級)</t>
  </si>
  <si>
    <t>營養午餐 (小學4-6年級)</t>
  </si>
  <si>
    <t>營養午餐 (國中)</t>
  </si>
  <si>
    <t>營養午餐 (高中男生)</t>
  </si>
  <si>
    <t>營養午餐 (高中女生)</t>
  </si>
  <si>
    <t>http://en.wikipedia.org/wiki/Little_Boy</t>
  </si>
  <si>
    <t>http://www.nuclearweaponarchive.org/Russia/TsarBomba.html</t>
  </si>
  <si>
    <t>http://volcano.gl.ntu.edu.tw/topic/0921.htm</t>
  </si>
  <si>
    <t>1999-921地震</t>
  </si>
  <si>
    <t>http://earthquake.usgs.gov/earthquakes/eqinthenews/2004/us2004slav/</t>
  </si>
  <si>
    <t>2004-南亞海嘯</t>
  </si>
  <si>
    <t>http://earthquake.usgs.gov/earthquakes/eqinthenews/2011/usc0001xgp/neic_c0001xgp_wmt.php</t>
  </si>
  <si>
    <t>2011-311東日本大地震</t>
  </si>
  <si>
    <t>2024日本石川地震</t>
  </si>
  <si>
    <t>202404 花蓮地震</t>
  </si>
  <si>
    <t>香蕉</t>
  </si>
  <si>
    <t>http://www.i-fit.com.tw/context/419.html</t>
  </si>
  <si>
    <t>太陽餅一個</t>
  </si>
  <si>
    <t>鳳梨酥一個</t>
  </si>
  <si>
    <t>花蓮薯一個</t>
  </si>
  <si>
    <t>能源產品單位熱值表</t>
  </si>
  <si>
    <t>一公升車用汽油燃燒</t>
  </si>
  <si>
    <t>一公升進口液化天然氣燃燒</t>
  </si>
  <si>
    <t>http://www.kayelaby.npl.co.uk/atomic_and_nuclear_physics/4_7/4_7_1.html</t>
  </si>
  <si>
    <t>一公克U-235核分裂釋放的能量</t>
  </si>
  <si>
    <t>http://onlinelibrary.wiley.com/doi/10.1029/2010GL045777/full</t>
  </si>
  <si>
    <t>太陽每小時釋放到地球的能量</t>
  </si>
  <si>
    <t>地球上平均每平方公尺一小時太陽能</t>
  </si>
  <si>
    <t>http://www.taipower.com.tw/content/new_info/new_info-b22.aspx?LinkID=7</t>
  </si>
  <si>
    <t>核四一小時發電量</t>
  </si>
  <si>
    <t>http://www.taipower.com.tw/content/new_info/new_info-b13e.aspx?LinkID=6</t>
  </si>
  <si>
    <t>台中火力發電廠一小時發電量</t>
  </si>
  <si>
    <t>http://www.taipower.com.tw/content/new_info/new_info-b31.aspx?LinkID=8</t>
  </si>
  <si>
    <t>2013年全台風力發電一小時平均發電量</t>
  </si>
  <si>
    <t>http://www.appledaily.com.tw/realtimenews/article/new/20140408/375178/</t>
  </si>
  <si>
    <t>http://www.hpa.gov.tw/BHPNet/Web/HealthTopic/TopicArticle.aspx?No=201409250001&amp;parentid=201405260002</t>
  </si>
  <si>
    <t>慢跑1小時(8km/hr, 體重60kg)</t>
  </si>
  <si>
    <t>慢跑1公里(8km/hr, 體重60kg)</t>
  </si>
  <si>
    <t>筆電(65W)使用一小時</t>
  </si>
  <si>
    <t>https://udn.com/news/story/7314/4540316?fbclid=IwAR0MqtRRBJqVHtUr5vakkJIo9BbaOOCW_KTN5ELuUzdcAfzKQvE1L8_7fSU</t>
  </si>
  <si>
    <t>觀塘三接LNG儲存槽爆炸</t>
  </si>
  <si>
    <t>天照大神粒子</t>
  </si>
  <si>
    <t>kgCO2/TJ</t>
  </si>
  <si>
    <t>gCO2/TJ</t>
  </si>
  <si>
    <t>gCO2/J</t>
  </si>
  <si>
    <t>gCO2/kWh</t>
  </si>
  <si>
    <t>亞煙煤(發電)</t>
  </si>
  <si>
    <t>Sub-Bituminous Coal</t>
  </si>
  <si>
    <t>天然氣</t>
  </si>
  <si>
    <t>Natural Gas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</si>
</sst>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#,##0.###############"/>
    <numFmt numFmtId="165" formatCode="#,##0.#############000000000000000"/>
    <numFmt numFmtId="166" formatCode="#,##0.######0000000000000000000"/>
    <numFmt numFmtId="167" formatCode="#,##0.###0"/>
  </numFmts>
  <fonts count="11">
    <font>
      <sz val="10.0"/>
      <color rgb="FF000000"/>
      <name val="Arial"/>
    </font>
    <font/>
    <font>
      <sz val="10.0"/>
      <color rgb="FFFF0000"/>
    </font>
    <font>
      <b/>
      <sz val="10.0"/>
    </font>
    <font>
      <u/>
      <color rgb="FF0000FF"/>
    </font>
    <font>
      <b/>
    </font>
    <font>
      <b/>
      <sz val="10.0"/>
      <color rgb="FFFF0000"/>
    </font>
    <font>
      <sz val="8.0"/>
    </font>
    <font>
      <color rgb="FF000000"/>
      <name val="&quot;Times New Roman&quot;"/>
    </font>
    <font>
      <b/>
      <color rgb="FFFF0000"/>
      <name val="標楷體"/>
    </font>
    <font>
      <color rgb="FF000000"/>
      <name val="標楷體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CCFFFF"/>
        <bgColor rgb="FFCC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1"/>
    </xf>
    <xf borderId="0" fillId="0" fontId="1" numFmtId="164" xfId="0" applyAlignment="1" applyFont="1" applyNumberFormat="1">
      <alignment readingOrder="0" shrinkToFit="0" wrapText="1"/>
    </xf>
    <xf borderId="0" fillId="0" fontId="2" numFmtId="164" xfId="0" applyAlignment="1" applyFont="1" applyNumberFormat="1">
      <alignment readingOrder="0" shrinkToFit="0" wrapText="1"/>
    </xf>
    <xf borderId="0" fillId="0" fontId="3" numFmtId="164" xfId="0" applyAlignment="1" applyFont="1" applyNumberFormat="1">
      <alignment readingOrder="0" shrinkToFit="0" wrapText="1"/>
    </xf>
    <xf borderId="0" fillId="0" fontId="1" numFmtId="164" xfId="0" applyAlignment="1" applyFont="1" applyNumberFormat="1">
      <alignment shrinkToFit="0" wrapText="1"/>
    </xf>
    <xf borderId="0" fillId="0" fontId="1" numFmtId="165" xfId="0" applyAlignment="1" applyFont="1" applyNumberFormat="1">
      <alignment readingOrder="0" shrinkToFit="0" wrapText="1"/>
    </xf>
    <xf borderId="0" fillId="0" fontId="1" numFmtId="0" xfId="0" applyAlignment="1" applyFont="1">
      <alignment readingOrder="0" shrinkToFit="0" wrapText="1"/>
    </xf>
    <xf borderId="0" fillId="0" fontId="2" numFmtId="164" xfId="0" applyAlignment="1" applyFont="1" applyNumberFormat="1">
      <alignment shrinkToFit="0" wrapText="1"/>
    </xf>
    <xf borderId="0" fillId="0" fontId="1" numFmtId="166" xfId="0" applyAlignment="1" applyFont="1" applyNumberFormat="1">
      <alignment shrinkToFit="0" wrapText="1"/>
    </xf>
    <xf borderId="0" fillId="0" fontId="1" numFmtId="165" xfId="0" applyAlignment="1" applyFont="1" applyNumberFormat="1">
      <alignment shrinkToFit="0" wrapText="1"/>
    </xf>
    <xf borderId="0" fillId="0" fontId="4" numFmtId="164" xfId="0" applyAlignment="1" applyFont="1" applyNumberFormat="1">
      <alignment readingOrder="0" shrinkToFit="0" wrapText="1"/>
    </xf>
    <xf borderId="0" fillId="2" fontId="1" numFmtId="164" xfId="0" applyAlignment="1" applyFill="1" applyFont="1" applyNumberFormat="1">
      <alignment readingOrder="0" shrinkToFit="0" wrapText="1"/>
    </xf>
    <xf borderId="0" fillId="0" fontId="1" numFmtId="167" xfId="0" applyAlignment="1" applyFont="1" applyNumberFormat="1">
      <alignment shrinkToFit="0" wrapText="1"/>
    </xf>
    <xf borderId="0" fillId="2" fontId="1" numFmtId="164" xfId="0" applyAlignment="1" applyFont="1" applyNumberFormat="1">
      <alignment shrinkToFit="0" wrapText="1"/>
    </xf>
    <xf borderId="0" fillId="2" fontId="2" numFmtId="164" xfId="0" applyAlignment="1" applyFont="1" applyNumberFormat="1">
      <alignment readingOrder="0" shrinkToFit="0" wrapText="1"/>
    </xf>
    <xf borderId="0" fillId="0" fontId="5" numFmtId="164" xfId="0" applyAlignment="1" applyFont="1" applyNumberFormat="1">
      <alignment shrinkToFit="0" wrapText="1"/>
    </xf>
    <xf borderId="0" fillId="0" fontId="5" numFmtId="164" xfId="0" applyAlignment="1" applyFont="1" applyNumberFormat="1">
      <alignment readingOrder="0" shrinkToFit="0" wrapText="1"/>
    </xf>
    <xf borderId="0" fillId="0" fontId="6" numFmtId="164" xfId="0" applyAlignment="1" applyFont="1" applyNumberFormat="1">
      <alignment readingOrder="0" shrinkToFit="0" wrapText="1"/>
    </xf>
    <xf borderId="0" fillId="0" fontId="5" numFmtId="166" xfId="0" applyAlignment="1" applyFont="1" applyNumberFormat="1">
      <alignment shrinkToFit="0" wrapText="1"/>
    </xf>
    <xf borderId="0" fillId="0" fontId="5" numFmtId="165" xfId="0" applyAlignment="1" applyFont="1" applyNumberFormat="1">
      <alignment shrinkToFit="0" wrapText="1"/>
    </xf>
    <xf borderId="0" fillId="0" fontId="5" numFmtId="167" xfId="0" applyAlignment="1" applyFont="1" applyNumberFormat="1">
      <alignment shrinkToFit="0" wrapText="1"/>
    </xf>
    <xf borderId="0" fillId="0" fontId="5" numFmtId="4" xfId="0" applyAlignment="1" applyFont="1" applyNumberFormat="1">
      <alignment readingOrder="0" shrinkToFit="0" wrapText="1"/>
    </xf>
    <xf borderId="0" fillId="0" fontId="7" numFmtId="164" xfId="0" applyAlignment="1" applyFont="1" applyNumberFormat="1">
      <alignment readingOrder="0" shrinkToFit="0" wrapText="1"/>
    </xf>
    <xf borderId="0" fillId="0" fontId="1" numFmtId="3" xfId="0" applyAlignment="1" applyFont="1" applyNumberFormat="1">
      <alignment shrinkToFit="0" wrapText="1"/>
    </xf>
    <xf borderId="0" fillId="0" fontId="1" numFmtId="1" xfId="0" applyAlignment="1" applyFont="1" applyNumberFormat="1">
      <alignment shrinkToFit="0" wrapText="1"/>
    </xf>
    <xf borderId="1" fillId="3" fontId="8" numFmtId="0" xfId="0" applyAlignment="1" applyBorder="1" applyFill="1" applyFont="1">
      <alignment horizontal="center" readingOrder="0" shrinkToFit="0" wrapText="0"/>
    </xf>
    <xf borderId="1" fillId="0" fontId="9" numFmtId="0" xfId="0" applyAlignment="1" applyBorder="1" applyFont="1">
      <alignment horizontal="center" readingOrder="0" shrinkToFit="0" wrapText="1"/>
    </xf>
    <xf borderId="1" fillId="3" fontId="8" numFmtId="0" xfId="0" applyAlignment="1" applyBorder="1" applyFont="1">
      <alignment horizontal="center" readingOrder="0" shrinkToFit="0" wrapText="1"/>
    </xf>
    <xf borderId="1" fillId="3" fontId="8" numFmtId="3" xfId="0" applyAlignment="1" applyBorder="1" applyFont="1" applyNumberFormat="1">
      <alignment horizontal="center" readingOrder="0" shrinkToFit="0" wrapText="1"/>
    </xf>
    <xf borderId="1" fillId="0" fontId="10" numFmtId="0" xfId="0" applyAlignment="1" applyBorder="1" applyFont="1">
      <alignment horizontal="center" readingOrder="0" shrinkToFit="0" wrapText="1"/>
    </xf>
    <xf borderId="1" fillId="3" fontId="8" numFmtId="3" xfId="0" applyAlignment="1" applyBorder="1" applyFont="1" applyNumberFormat="1">
      <alignment horizontal="center"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UV G" id="{c09df727-9931-40b8-a836-bd177a5f7f68}" providerId="google-sheets"/>
</x18tc:personList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I1" dT="2014-04-10T09:37:21.00" personId="{c09df727-9931-40b8-a836-bd177a5f7f68}" id="{ff4d4e0e-f2e5-4a78-8305-feaa5a88ea00}" done="1">
    <x18tc:text xml:space="preserve">http://earthquake.usgs.gov/learn/topics/measure.php</x18tc:text>
    <x18tc:extLst>
      <ext uri="{F7C98A9C-CBB3-438F-8F68-D28B6AF4A901}">
        <xltc2:checksum/>
        <xltc2:hyperlink startIndex="0" length="51" url="http://earthquake.usgs.gov/learn/topics/measure.php"/>
      </ext>
    </x18tc:extLst>
  </x18tc:threadedComment>
  <x18tc:threadedComment ref="I1" dT="2014-04-10T09:37:44.00" personId="{c09df727-9931-40b8-a836-bd177a5f7f68}" id="{c713264e-e082-4ee0-9ba6-ce042f110799}" parentId="{ff4d4e0e-f2e5-4a78-8305-feaa5a88ea00}">
    <x18tc:text xml:space="preserve">算法待確認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drawing" Target="../drawings/drawing1.xml"/><Relationship Id="rId11" Type="http://schemas.openxmlformats.org/officeDocument/2006/relationships/hyperlink" Target="http://www.kayelaby.npl.co.uk/atomic_and_nuclear_physics/4_7/4_7_1.html" TargetMode="External"/><Relationship Id="rId10" Type="http://schemas.openxmlformats.org/officeDocument/2006/relationships/hyperlink" Target="http://www.i-fit.com.tw/context/419.html" TargetMode="External"/><Relationship Id="rId21" Type="http://schemas.openxmlformats.org/officeDocument/2006/relationships/vmlDrawing" Target="../drawings/vmlDrawing1.vml"/><Relationship Id="rId13" Type="http://schemas.openxmlformats.org/officeDocument/2006/relationships/hyperlink" Target="http://onlinelibrary.wiley.com/doi/10.1029/2010GL045777/full" TargetMode="External"/><Relationship Id="rId12" Type="http://schemas.openxmlformats.org/officeDocument/2006/relationships/hyperlink" Target="http://onlinelibrary.wiley.com/doi/10.1029/2010GL045777/full" TargetMode="External"/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hyperlink" Target="http://cpd.moe.gov.tw/health/content.php?cid=153&amp;catalogid=2&amp;flag=999" TargetMode="External"/><Relationship Id="rId9" Type="http://schemas.openxmlformats.org/officeDocument/2006/relationships/hyperlink" Target="http://earthquake.usgs.gov/earthquakes/eqinthenews/2011/usc0001xgp/neic_c0001xgp_wmt.php" TargetMode="External"/><Relationship Id="rId15" Type="http://schemas.openxmlformats.org/officeDocument/2006/relationships/hyperlink" Target="http://www.taipower.com.tw/content/new_info/new_info-b13e.aspx?LinkID=6" TargetMode="External"/><Relationship Id="rId14" Type="http://schemas.openxmlformats.org/officeDocument/2006/relationships/hyperlink" Target="http://www.taipower.com.tw/content/new_info/new_info-b22.aspx?LinkID=7" TargetMode="External"/><Relationship Id="rId17" Type="http://schemas.openxmlformats.org/officeDocument/2006/relationships/hyperlink" Target="http://www.appledaily.com.tw/realtimenews/article/new/20140408/375178/" TargetMode="External"/><Relationship Id="rId16" Type="http://schemas.openxmlformats.org/officeDocument/2006/relationships/hyperlink" Target="http://www.taipower.com.tw/content/new_info/new_info-b31.aspx?LinkID=8" TargetMode="External"/><Relationship Id="rId5" Type="http://schemas.openxmlformats.org/officeDocument/2006/relationships/hyperlink" Target="http://en.wikipedia.org/wiki/Little_Boy" TargetMode="External"/><Relationship Id="rId19" Type="http://schemas.openxmlformats.org/officeDocument/2006/relationships/hyperlink" Target="https://udn.com/news/story/7314/4540316?fbclid=IwAR0MqtRRBJqVHtUr5vakkJIo9BbaOOCW_KTN5ELuUzdcAfzKQvE1L8_7fSU" TargetMode="External"/><Relationship Id="rId6" Type="http://schemas.openxmlformats.org/officeDocument/2006/relationships/hyperlink" Target="http://www.nuclearweaponarchive.org/Russia/TsarBomba.html" TargetMode="External"/><Relationship Id="rId18" Type="http://schemas.openxmlformats.org/officeDocument/2006/relationships/hyperlink" Target="http://www.hpa.gov.tw/BHPNet/Web/HealthTopic/TopicArticle.aspx?No=201409250001&amp;parentid=201405260002" TargetMode="External"/><Relationship Id="rId7" Type="http://schemas.openxmlformats.org/officeDocument/2006/relationships/hyperlink" Target="http://volcano.gl.ntu.edu.tw/topic/0921.htm" TargetMode="External"/><Relationship Id="rId8" Type="http://schemas.openxmlformats.org/officeDocument/2006/relationships/hyperlink" Target="http://earthquake.usgs.gov/earthquakes/eqinthenews/2004/us2004slav/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2.75"/>
  <cols>
    <col customWidth="1" min="1" max="1" width="15.13"/>
    <col customWidth="1" min="2" max="2" width="20.63"/>
    <col customWidth="1" min="3" max="3" width="25.13"/>
    <col customWidth="1" min="4" max="5" width="15.13"/>
    <col customWidth="1" min="6" max="6" width="26.13"/>
    <col customWidth="1" min="7" max="7" width="15.13"/>
    <col customWidth="1" min="8" max="8" width="20.0"/>
    <col customWidth="1" min="9" max="13" width="15.13"/>
    <col customWidth="1" min="14" max="14" width="16.38"/>
    <col customWidth="1" min="15" max="16" width="15.13"/>
    <col customWidth="1" min="17" max="17" width="20.75"/>
    <col customWidth="1" min="18" max="19" width="15.13"/>
    <col customWidth="1" min="20" max="20" width="23.0"/>
    <col customWidth="1" min="21" max="22" width="15.13"/>
    <col customWidth="1" min="24" max="25" width="15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1" t="s">
        <v>10</v>
      </c>
      <c r="L1" s="3" t="s">
        <v>11</v>
      </c>
      <c r="M1" s="4"/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5" t="s">
        <v>17</v>
      </c>
      <c r="T1" s="1" t="s">
        <v>18</v>
      </c>
      <c r="U1" s="1" t="s">
        <v>19</v>
      </c>
      <c r="V1" s="1" t="s">
        <v>20</v>
      </c>
      <c r="W1" s="6" t="s">
        <v>21</v>
      </c>
      <c r="X1" s="4"/>
      <c r="Y1" s="4"/>
    </row>
    <row r="2">
      <c r="A2" s="4"/>
      <c r="B2" s="1" t="s">
        <v>22</v>
      </c>
      <c r="C2" s="1">
        <v>1.0</v>
      </c>
      <c r="D2" s="4">
        <f>C2*0.239</f>
        <v>0.239</v>
      </c>
      <c r="E2" s="4">
        <f>C2*10^7</f>
        <v>10000000</v>
      </c>
      <c r="F2" s="4">
        <f>C2*6.24150974*10^18</f>
        <v>6.24151E+18</v>
      </c>
      <c r="G2" s="4">
        <f>C2*2.7778*10^(-7)</f>
        <v>0.00000027778</v>
      </c>
      <c r="H2" s="4">
        <f>C2/4184000000</f>
        <v>0.0000000002390057361</v>
      </c>
      <c r="I2" s="7">
        <f>(log(C2*10000000,10)-11.8)/1.5</f>
        <v>-3.2</v>
      </c>
      <c r="J2" s="7"/>
      <c r="K2" s="4">
        <f>C2/(7.457*10^2)</f>
        <v>0.001341021859</v>
      </c>
      <c r="L2" s="3" t="s">
        <v>23</v>
      </c>
      <c r="M2" s="4"/>
      <c r="N2" s="4">
        <f>C2*0.239/1000</f>
        <v>0.000239</v>
      </c>
      <c r="O2" s="4">
        <f>C2*0.239/770000</f>
        <v>0.0000003103896104</v>
      </c>
      <c r="P2" s="4">
        <f>C2/66944000000000</f>
        <v>0</v>
      </c>
      <c r="Q2" s="8">
        <f>C2/209200000000000000</f>
        <v>0</v>
      </c>
      <c r="R2" s="4">
        <f>C2/25129707112970.7</f>
        <v>0</v>
      </c>
      <c r="S2" s="9"/>
      <c r="T2" s="4"/>
      <c r="U2" s="4"/>
      <c r="V2" s="4">
        <f>C2/20807833537331.7</f>
        <v>0</v>
      </c>
      <c r="W2" s="6">
        <f>C2/38.4522351157943</f>
        <v>0.02600629058</v>
      </c>
      <c r="X2" s="4"/>
      <c r="Y2" s="4"/>
    </row>
    <row r="3">
      <c r="A3" s="4"/>
      <c r="B3" s="4"/>
      <c r="C3" s="4"/>
      <c r="D3" s="4"/>
      <c r="E3" s="4"/>
      <c r="F3" s="4"/>
      <c r="G3" s="4"/>
      <c r="H3" s="4"/>
      <c r="I3" s="7"/>
      <c r="J3" s="7"/>
      <c r="K3" s="4"/>
      <c r="L3" s="4"/>
      <c r="M3" s="4"/>
      <c r="N3" s="4"/>
      <c r="O3" s="4"/>
      <c r="P3" s="4"/>
      <c r="Q3" s="8"/>
      <c r="R3" s="4"/>
      <c r="S3" s="9"/>
      <c r="T3" s="4"/>
      <c r="U3" s="4"/>
      <c r="V3" s="4"/>
      <c r="X3" s="4"/>
      <c r="Y3" s="4"/>
    </row>
    <row r="4">
      <c r="A4" s="10" t="s">
        <v>24</v>
      </c>
      <c r="B4" s="1" t="s">
        <v>25</v>
      </c>
      <c r="C4" s="4">
        <f>D4/D2</f>
        <v>2803347.28</v>
      </c>
      <c r="D4" s="11">
        <v>670000.0</v>
      </c>
      <c r="E4" s="4">
        <f t="shared" ref="E4:E8" si="1">C4*10^7</f>
        <v>28033472803347</v>
      </c>
      <c r="F4" s="4">
        <f t="shared" ref="F4:F8" si="2">C4*6.24150974*10^18</f>
        <v>1.74971E+25</v>
      </c>
      <c r="G4" s="4">
        <f t="shared" ref="G4:G8" si="3">C4*2.7778*10^(-7)</f>
        <v>0.7787138075</v>
      </c>
      <c r="H4" s="4">
        <f t="shared" ref="H4:H8" si="4">C4/4184000000</f>
        <v>0.0006700160804</v>
      </c>
      <c r="I4" s="7">
        <f t="shared" ref="I4:I8" si="5">(log(C4*10000000,10)-11.8)/1.5</f>
        <v>1.098451268</v>
      </c>
      <c r="J4" s="7"/>
      <c r="K4" s="4">
        <f t="shared" ref="K4:K8" si="6">C4/(7.457*10^2)</f>
        <v>3759.34998</v>
      </c>
      <c r="L4" s="4"/>
      <c r="M4" s="4"/>
      <c r="N4" s="4">
        <f t="shared" ref="N4:N8" si="7">C4*0.239/1000</f>
        <v>670</v>
      </c>
      <c r="O4" s="4">
        <f t="shared" ref="O4:O8" si="8">C4*0.239/770000</f>
        <v>0.8701298701</v>
      </c>
      <c r="P4" s="4">
        <f t="shared" ref="P4:P8" si="9">C4/66944000000000</f>
        <v>0.00000004187600502</v>
      </c>
      <c r="Q4" s="8">
        <f t="shared" ref="Q4:Q8" si="10">C4/209200000000000000</f>
        <v>0</v>
      </c>
      <c r="R4" s="4">
        <f t="shared" ref="R4:R8" si="11">C4/25129707112970.7</f>
        <v>0.0000001115551116</v>
      </c>
      <c r="S4" s="9">
        <f t="shared" ref="S4:S8" si="12">C4/300209.205020921</f>
        <v>9.337979094</v>
      </c>
      <c r="T4" s="4">
        <f t="shared" ref="T4:T8" si="13">C4/49034.170153417</f>
        <v>57.17130058</v>
      </c>
      <c r="U4" s="12">
        <f t="shared" ref="U4:U8" si="14">N4/9000</f>
        <v>0.07444444444</v>
      </c>
      <c r="V4" s="4">
        <f t="shared" ref="V4:V8" si="15">C4/20807833537331.7</f>
        <v>0.0000001347255722</v>
      </c>
      <c r="W4" s="6">
        <f t="shared" ref="W4:W8" si="16">C4/38.4522351157943</f>
        <v>72904.66398</v>
      </c>
      <c r="X4" s="4"/>
      <c r="Y4" s="4"/>
    </row>
    <row r="5">
      <c r="B5" s="1" t="s">
        <v>26</v>
      </c>
      <c r="C5" s="4">
        <f>D5/D2</f>
        <v>3221757.322</v>
      </c>
      <c r="D5" s="11">
        <v>770000.0</v>
      </c>
      <c r="E5" s="4">
        <f t="shared" si="1"/>
        <v>32217573221757</v>
      </c>
      <c r="F5" s="4">
        <f t="shared" si="2"/>
        <v>2.01086E+25</v>
      </c>
      <c r="G5" s="4">
        <f t="shared" si="3"/>
        <v>0.894939749</v>
      </c>
      <c r="H5" s="4">
        <f t="shared" si="4"/>
        <v>0.0007700184804</v>
      </c>
      <c r="I5" s="7">
        <f t="shared" si="5"/>
        <v>1.138728549</v>
      </c>
      <c r="J5" s="7"/>
      <c r="K5" s="4">
        <f t="shared" si="6"/>
        <v>4320.446992</v>
      </c>
      <c r="L5" s="4"/>
      <c r="M5" s="4"/>
      <c r="N5" s="4">
        <f t="shared" si="7"/>
        <v>770</v>
      </c>
      <c r="O5" s="4">
        <f t="shared" si="8"/>
        <v>1</v>
      </c>
      <c r="P5" s="4">
        <f t="shared" si="9"/>
        <v>0.00000004812615503</v>
      </c>
      <c r="Q5" s="8">
        <f t="shared" si="10"/>
        <v>0</v>
      </c>
      <c r="R5" s="4">
        <f t="shared" si="11"/>
        <v>0.0000001282051282</v>
      </c>
      <c r="S5" s="9">
        <f t="shared" si="12"/>
        <v>10.73170732</v>
      </c>
      <c r="T5" s="4">
        <f t="shared" si="13"/>
        <v>65.70433051</v>
      </c>
      <c r="U5" s="12">
        <f t="shared" si="14"/>
        <v>0.08555555556</v>
      </c>
      <c r="V5" s="4">
        <f t="shared" si="15"/>
        <v>0.0000001548338666</v>
      </c>
      <c r="W5" s="6">
        <f t="shared" si="16"/>
        <v>83785.95711</v>
      </c>
      <c r="X5" s="4"/>
      <c r="Y5" s="4"/>
    </row>
    <row r="6">
      <c r="B6" s="1" t="s">
        <v>27</v>
      </c>
      <c r="C6" s="4">
        <f>D6/D2</f>
        <v>3598326.36</v>
      </c>
      <c r="D6" s="11">
        <v>860000.0</v>
      </c>
      <c r="E6" s="4">
        <f t="shared" si="1"/>
        <v>35983263598326</v>
      </c>
      <c r="F6" s="4">
        <f t="shared" si="2"/>
        <v>2.2459E+25</v>
      </c>
      <c r="G6" s="4">
        <f t="shared" si="3"/>
        <v>0.9995430962</v>
      </c>
      <c r="H6" s="4">
        <f t="shared" si="4"/>
        <v>0.0008600206405</v>
      </c>
      <c r="I6" s="7">
        <f t="shared" si="5"/>
        <v>1.1707337</v>
      </c>
      <c r="J6" s="7"/>
      <c r="K6" s="4">
        <f t="shared" si="6"/>
        <v>4825.434303</v>
      </c>
      <c r="L6" s="4"/>
      <c r="M6" s="4"/>
      <c r="N6" s="4">
        <f t="shared" si="7"/>
        <v>860</v>
      </c>
      <c r="O6" s="4">
        <f t="shared" si="8"/>
        <v>1.116883117</v>
      </c>
      <c r="P6" s="4">
        <f t="shared" si="9"/>
        <v>0.00000005375129003</v>
      </c>
      <c r="Q6" s="8">
        <f t="shared" si="10"/>
        <v>0</v>
      </c>
      <c r="R6" s="4">
        <f t="shared" si="11"/>
        <v>0.0000001431901432</v>
      </c>
      <c r="S6" s="9">
        <f t="shared" si="12"/>
        <v>11.98606272</v>
      </c>
      <c r="T6" s="4">
        <f t="shared" si="13"/>
        <v>73.38405746</v>
      </c>
      <c r="U6" s="12">
        <f t="shared" si="14"/>
        <v>0.09555555556</v>
      </c>
      <c r="V6" s="4">
        <f t="shared" si="15"/>
        <v>0.0000001729313315</v>
      </c>
      <c r="W6" s="6">
        <f t="shared" si="16"/>
        <v>93579.12093</v>
      </c>
      <c r="X6" s="4"/>
      <c r="Y6" s="4"/>
    </row>
    <row r="7">
      <c r="B7" s="1" t="s">
        <v>28</v>
      </c>
      <c r="C7" s="4">
        <f>D7/D2</f>
        <v>4058577.406</v>
      </c>
      <c r="D7" s="11">
        <v>970000.0</v>
      </c>
      <c r="E7" s="4">
        <f t="shared" si="1"/>
        <v>40585774058577</v>
      </c>
      <c r="F7" s="4">
        <f t="shared" si="2"/>
        <v>2.53317E+25</v>
      </c>
      <c r="G7" s="4">
        <f t="shared" si="3"/>
        <v>1.127391632</v>
      </c>
      <c r="H7" s="4">
        <f t="shared" si="4"/>
        <v>0.0009700232806</v>
      </c>
      <c r="I7" s="7">
        <f t="shared" si="5"/>
        <v>1.205582556</v>
      </c>
      <c r="J7" s="7"/>
      <c r="K7" s="4">
        <f t="shared" si="6"/>
        <v>5442.641016</v>
      </c>
      <c r="L7" s="4"/>
      <c r="M7" s="4"/>
      <c r="N7" s="4">
        <f t="shared" si="7"/>
        <v>970</v>
      </c>
      <c r="O7" s="4">
        <f t="shared" si="8"/>
        <v>1.25974026</v>
      </c>
      <c r="P7" s="4">
        <f t="shared" si="9"/>
        <v>0.00000006062645503</v>
      </c>
      <c r="Q7" s="8">
        <f t="shared" si="10"/>
        <v>0</v>
      </c>
      <c r="R7" s="4">
        <f t="shared" si="11"/>
        <v>0.0000001615051615</v>
      </c>
      <c r="S7" s="9">
        <f t="shared" si="12"/>
        <v>13.51916376</v>
      </c>
      <c r="T7" s="4">
        <f t="shared" si="13"/>
        <v>82.77039039</v>
      </c>
      <c r="U7" s="12">
        <f t="shared" si="14"/>
        <v>0.1077777778</v>
      </c>
      <c r="V7" s="4">
        <f t="shared" si="15"/>
        <v>0.0000001950504553</v>
      </c>
      <c r="W7" s="6">
        <f t="shared" si="16"/>
        <v>105548.5434</v>
      </c>
      <c r="X7" s="4"/>
      <c r="Y7" s="4"/>
    </row>
    <row r="8">
      <c r="B8" s="1" t="s">
        <v>29</v>
      </c>
      <c r="C8" s="4">
        <f>D8/D2</f>
        <v>3138075.314</v>
      </c>
      <c r="D8" s="11">
        <v>750000.0</v>
      </c>
      <c r="E8" s="4">
        <f t="shared" si="1"/>
        <v>31380753138075</v>
      </c>
      <c r="F8" s="4">
        <f t="shared" si="2"/>
        <v>1.95863E+25</v>
      </c>
      <c r="G8" s="4">
        <f t="shared" si="3"/>
        <v>0.8716945607</v>
      </c>
      <c r="H8" s="4">
        <f t="shared" si="4"/>
        <v>0.0007500180004</v>
      </c>
      <c r="I8" s="7">
        <f t="shared" si="5"/>
        <v>1.131108908</v>
      </c>
      <c r="J8" s="7"/>
      <c r="K8" s="4">
        <f t="shared" si="6"/>
        <v>4208.22759</v>
      </c>
      <c r="L8" s="4"/>
      <c r="M8" s="4"/>
      <c r="N8" s="4">
        <f t="shared" si="7"/>
        <v>750</v>
      </c>
      <c r="O8" s="4">
        <f t="shared" si="8"/>
        <v>0.974025974</v>
      </c>
      <c r="P8" s="4">
        <f t="shared" si="9"/>
        <v>0.00000004687612503</v>
      </c>
      <c r="Q8" s="8">
        <f t="shared" si="10"/>
        <v>0</v>
      </c>
      <c r="R8" s="4">
        <f t="shared" si="11"/>
        <v>0.0000001248751249</v>
      </c>
      <c r="S8" s="9">
        <f t="shared" si="12"/>
        <v>10.45296167</v>
      </c>
      <c r="T8" s="4">
        <f t="shared" si="13"/>
        <v>63.99772453</v>
      </c>
      <c r="U8" s="12">
        <f t="shared" si="14"/>
        <v>0.08333333333</v>
      </c>
      <c r="V8" s="4">
        <f t="shared" si="15"/>
        <v>0.0000001508122077</v>
      </c>
      <c r="W8" s="6">
        <f t="shared" si="16"/>
        <v>81609.69848</v>
      </c>
      <c r="X8" s="4"/>
      <c r="Y8" s="4"/>
    </row>
    <row r="9">
      <c r="A9" s="4"/>
      <c r="B9" s="4"/>
      <c r="C9" s="4"/>
      <c r="D9" s="4"/>
      <c r="E9" s="4"/>
      <c r="F9" s="4"/>
      <c r="G9" s="4"/>
      <c r="H9" s="4"/>
      <c r="I9" s="7"/>
      <c r="J9" s="7"/>
      <c r="K9" s="4"/>
      <c r="L9" s="4"/>
      <c r="M9" s="4"/>
      <c r="N9" s="4"/>
      <c r="O9" s="4"/>
      <c r="P9" s="4"/>
      <c r="Q9" s="8"/>
      <c r="R9" s="4"/>
      <c r="S9" s="9"/>
      <c r="T9" s="4"/>
      <c r="U9" s="12"/>
      <c r="V9" s="4"/>
      <c r="X9" s="4"/>
      <c r="Y9" s="4"/>
    </row>
    <row r="10">
      <c r="A10" s="4"/>
      <c r="B10" s="1" t="s">
        <v>7</v>
      </c>
      <c r="C10" s="13">
        <f>4.184*(10^9)</f>
        <v>4184000000</v>
      </c>
      <c r="D10" s="4">
        <f t="shared" ref="D10:D12" si="17">C10*0.239</f>
        <v>999976000</v>
      </c>
      <c r="E10" s="4">
        <f t="shared" ref="E10:E12" si="18">C10*10^7</f>
        <v>4.184E+16</v>
      </c>
      <c r="F10" s="4">
        <f t="shared" ref="F10:F12" si="19">C10*6.24150974*10^18</f>
        <v>2.61145E+28</v>
      </c>
      <c r="G10" s="4">
        <f t="shared" ref="G10:G12" si="20">C10*2.7778*10^(-7)</f>
        <v>1162.23152</v>
      </c>
      <c r="H10" s="4">
        <f>C10/4184000000</f>
        <v>1</v>
      </c>
      <c r="I10" s="7">
        <f t="shared" ref="I10:I12" si="21">(log(C10*10000000,10)-11.8)/1.5</f>
        <v>3.214394451</v>
      </c>
      <c r="J10" s="7"/>
      <c r="K10" s="4">
        <f t="shared" ref="K10:K12" si="22">C10/(7.457*10^2)</f>
        <v>5610835.457</v>
      </c>
      <c r="L10" s="4"/>
      <c r="M10" s="4"/>
      <c r="N10" s="4">
        <f t="shared" ref="N10:N12" si="23">C10*0.239/1000</f>
        <v>999976</v>
      </c>
      <c r="O10" s="4">
        <f t="shared" ref="O10:O12" si="24">C10*0.239/770000</f>
        <v>1298.67013</v>
      </c>
      <c r="P10" s="4">
        <f t="shared" ref="P10:P12" si="25">C10/66944000000000</f>
        <v>0.0000625</v>
      </c>
      <c r="Q10" s="8">
        <f t="shared" ref="Q10:Q12" si="26">C10/209200000000000000</f>
        <v>0.00000002</v>
      </c>
      <c r="R10" s="4">
        <f t="shared" ref="R10:R12" si="27">C10/25129707112970.7</f>
        <v>0.0001664961705</v>
      </c>
      <c r="S10" s="9">
        <f t="shared" ref="S10:S12" si="28">C10/300209.205020921</f>
        <v>13936.94774</v>
      </c>
      <c r="T10" s="4">
        <f t="shared" ref="T10:T12" si="29">C10/49034.170153417</f>
        <v>85328.25144</v>
      </c>
      <c r="U10" s="12">
        <f t="shared" ref="U10:U12" si="30">N10/9000</f>
        <v>111.1084444</v>
      </c>
      <c r="V10" s="4">
        <f t="shared" ref="V10:V12" si="31">C10/20807833537331.7</f>
        <v>0.0002010781176</v>
      </c>
      <c r="W10" s="6">
        <f t="shared" ref="W10:W24" si="32">C10/38.4522351157943</f>
        <v>108810319.8</v>
      </c>
      <c r="X10" s="4"/>
      <c r="Y10" s="4"/>
    </row>
    <row r="11">
      <c r="A11" s="10" t="s">
        <v>30</v>
      </c>
      <c r="B11" s="1" t="s">
        <v>14</v>
      </c>
      <c r="C11" s="4">
        <f>H11/H2</f>
        <v>66944000000000</v>
      </c>
      <c r="D11" s="4">
        <f t="shared" si="17"/>
        <v>15999616000000</v>
      </c>
      <c r="E11" s="4">
        <f t="shared" si="18"/>
        <v>6.6944E+20</v>
      </c>
      <c r="F11" s="4">
        <f t="shared" si="19"/>
        <v>4.17832E+32</v>
      </c>
      <c r="G11" s="4">
        <f t="shared" si="20"/>
        <v>18595704.32</v>
      </c>
      <c r="H11" s="11">
        <v>16000.0</v>
      </c>
      <c r="I11" s="7">
        <f t="shared" si="21"/>
        <v>6.017141106</v>
      </c>
      <c r="J11" s="7"/>
      <c r="K11" s="4">
        <f t="shared" si="22"/>
        <v>89773367306</v>
      </c>
      <c r="L11" s="4"/>
      <c r="M11" s="4"/>
      <c r="N11" s="4">
        <f t="shared" si="23"/>
        <v>15999616000</v>
      </c>
      <c r="O11" s="4">
        <f t="shared" si="24"/>
        <v>20778722.08</v>
      </c>
      <c r="P11" s="4">
        <f t="shared" si="25"/>
        <v>1</v>
      </c>
      <c r="Q11" s="8">
        <f t="shared" si="26"/>
        <v>0.00032</v>
      </c>
      <c r="R11" s="4">
        <f t="shared" si="27"/>
        <v>2.663938728</v>
      </c>
      <c r="S11" s="9">
        <f t="shared" si="28"/>
        <v>222991163.8</v>
      </c>
      <c r="T11" s="4">
        <f t="shared" si="29"/>
        <v>1365252023</v>
      </c>
      <c r="U11" s="12">
        <f t="shared" si="30"/>
        <v>1777735.111</v>
      </c>
      <c r="V11" s="4">
        <f t="shared" si="31"/>
        <v>3.217249882</v>
      </c>
      <c r="W11" s="6">
        <f t="shared" si="32"/>
        <v>1740965116811</v>
      </c>
      <c r="X11" s="4"/>
      <c r="Y11" s="4"/>
    </row>
    <row r="12">
      <c r="A12" s="10" t="s">
        <v>31</v>
      </c>
      <c r="B12" s="1" t="s">
        <v>15</v>
      </c>
      <c r="C12" s="4">
        <f>H12/H2</f>
        <v>2.092E+17</v>
      </c>
      <c r="D12" s="4">
        <f t="shared" si="17"/>
        <v>4.99988E+16</v>
      </c>
      <c r="E12" s="4">
        <f t="shared" si="18"/>
        <v>2.092E+24</v>
      </c>
      <c r="F12" s="4">
        <f t="shared" si="19"/>
        <v>1.30572E+36</v>
      </c>
      <c r="G12" s="4">
        <f t="shared" si="20"/>
        <v>58111576000</v>
      </c>
      <c r="H12" s="11">
        <v>5.0E7</v>
      </c>
      <c r="I12" s="7">
        <f t="shared" si="21"/>
        <v>8.34704112</v>
      </c>
      <c r="J12" s="7"/>
      <c r="K12" s="4">
        <f t="shared" si="22"/>
        <v>280541772830897</v>
      </c>
      <c r="L12" s="4"/>
      <c r="M12" s="4"/>
      <c r="N12" s="4">
        <f t="shared" si="23"/>
        <v>49998800000000</v>
      </c>
      <c r="O12" s="4">
        <f t="shared" si="24"/>
        <v>64933506494</v>
      </c>
      <c r="P12" s="4">
        <f t="shared" si="25"/>
        <v>3125</v>
      </c>
      <c r="Q12" s="8">
        <f t="shared" si="26"/>
        <v>1</v>
      </c>
      <c r="R12" s="4">
        <f t="shared" si="27"/>
        <v>8324.808525</v>
      </c>
      <c r="S12" s="9">
        <f t="shared" si="28"/>
        <v>696847386760</v>
      </c>
      <c r="T12" s="4">
        <f t="shared" si="29"/>
        <v>4266412571997</v>
      </c>
      <c r="U12" s="12">
        <f t="shared" si="30"/>
        <v>5555422222</v>
      </c>
      <c r="V12" s="4">
        <f t="shared" si="31"/>
        <v>10053.90588</v>
      </c>
      <c r="W12" s="6">
        <f t="shared" si="32"/>
        <v>5.44052E+15</v>
      </c>
      <c r="X12" s="4"/>
      <c r="Y12" s="4"/>
    </row>
    <row r="13">
      <c r="A13" s="4"/>
      <c r="B13" s="4"/>
      <c r="C13" s="4"/>
      <c r="D13" s="4"/>
      <c r="E13" s="4"/>
      <c r="F13" s="4"/>
      <c r="G13" s="4"/>
      <c r="H13" s="4"/>
      <c r="I13" s="7"/>
      <c r="J13" s="7"/>
      <c r="K13" s="4"/>
      <c r="L13" s="4"/>
      <c r="M13" s="4"/>
      <c r="N13" s="4"/>
      <c r="O13" s="4"/>
      <c r="P13" s="4"/>
      <c r="Q13" s="8"/>
      <c r="R13" s="4"/>
      <c r="S13" s="9"/>
      <c r="T13" s="4"/>
      <c r="U13" s="12"/>
      <c r="V13" s="4"/>
      <c r="W13" s="6">
        <f t="shared" si="32"/>
        <v>0</v>
      </c>
      <c r="X13" s="4"/>
      <c r="Y13" s="4"/>
    </row>
    <row r="14">
      <c r="A14" s="10" t="s">
        <v>32</v>
      </c>
      <c r="B14" s="1" t="s">
        <v>33</v>
      </c>
      <c r="C14" s="4">
        <f t="shared" ref="C14:C17" si="33">10^(11.8+1.5*I14)/10000000</f>
        <v>5.62341E+15</v>
      </c>
      <c r="D14" s="4">
        <f t="shared" ref="D14:D21" si="34">C14*0.239</f>
        <v>1.344E+15</v>
      </c>
      <c r="E14" s="4">
        <f t="shared" ref="E14:E24" si="35">C14*10^7</f>
        <v>5.62341E+22</v>
      </c>
      <c r="F14" s="4">
        <f t="shared" ref="F14:F24" si="36">C14*6.24150974*10^18</f>
        <v>3.50986E+34</v>
      </c>
      <c r="G14" s="4">
        <f t="shared" ref="G14:G24" si="37">C14*2.7778*10^(-7)</f>
        <v>1562071733</v>
      </c>
      <c r="H14" s="4">
        <f t="shared" ref="H14:H24" si="38">C14/4184000000</f>
        <v>1344028.024</v>
      </c>
      <c r="I14" s="14">
        <v>7.3</v>
      </c>
      <c r="J14" s="14"/>
      <c r="K14" s="4">
        <f t="shared" ref="K14:K24" si="39">C14/(7.457*10^2)</f>
        <v>7541120091060</v>
      </c>
      <c r="L14" s="4"/>
      <c r="M14" s="4"/>
      <c r="N14" s="4">
        <f t="shared" ref="N14:N24" si="40">C14*0.239/1000</f>
        <v>1343995767205</v>
      </c>
      <c r="O14" s="4">
        <f t="shared" ref="O14:O24" si="41">C14*0.239/770000</f>
        <v>1745449048</v>
      </c>
      <c r="P14" s="4">
        <f t="shared" ref="P14:P24" si="42">C14/66944000000000</f>
        <v>84.00175149</v>
      </c>
      <c r="Q14" s="8">
        <f t="shared" ref="Q14:Q24" si="43">C14/209200000000000000</f>
        <v>0.02688056048</v>
      </c>
      <c r="R14" s="4">
        <f t="shared" ref="R14:R24" si="44">C14/25129707112970.7</f>
        <v>223.775519</v>
      </c>
      <c r="S14" s="9">
        <f t="shared" ref="S14:S24" si="45">C14/300209.205020921</f>
        <v>18731648323</v>
      </c>
      <c r="T14" s="4">
        <f t="shared" ref="T14:T24" si="46">C14/49034.170153417</f>
        <v>114683561164</v>
      </c>
      <c r="U14" s="12">
        <f t="shared" ref="U14:U24" si="47">N14/9000</f>
        <v>149332863</v>
      </c>
      <c r="V14" s="4">
        <f t="shared" ref="V14:V24" si="48">C14/20807833537331.7</f>
        <v>270.2546251</v>
      </c>
      <c r="W14" s="6">
        <f t="shared" si="32"/>
        <v>146244119099170</v>
      </c>
      <c r="X14" s="4"/>
      <c r="Y14" s="4"/>
    </row>
    <row r="15">
      <c r="A15" s="10" t="s">
        <v>34</v>
      </c>
      <c r="B15" s="1" t="s">
        <v>35</v>
      </c>
      <c r="C15" s="4">
        <f t="shared" si="33"/>
        <v>2.81838E+18</v>
      </c>
      <c r="D15" s="4">
        <f t="shared" si="34"/>
        <v>6.73594E+17</v>
      </c>
      <c r="E15" s="4">
        <f t="shared" si="35"/>
        <v>2.81838E+25</v>
      </c>
      <c r="F15" s="4">
        <f t="shared" si="36"/>
        <v>1.7591E+37</v>
      </c>
      <c r="G15" s="4">
        <f t="shared" si="37"/>
        <v>782890410647</v>
      </c>
      <c r="H15" s="4">
        <f t="shared" si="38"/>
        <v>673609687.2</v>
      </c>
      <c r="I15" s="14">
        <v>9.1</v>
      </c>
      <c r="J15" s="14"/>
      <c r="K15" s="4">
        <f t="shared" si="39"/>
        <v>3.77951E+15</v>
      </c>
      <c r="L15" s="4"/>
      <c r="M15" s="4"/>
      <c r="N15" s="4">
        <f t="shared" si="40"/>
        <v>673593520572203</v>
      </c>
      <c r="O15" s="4">
        <f t="shared" si="41"/>
        <v>874796779964</v>
      </c>
      <c r="P15" s="4">
        <f t="shared" si="42"/>
        <v>42100.60545</v>
      </c>
      <c r="Q15" s="8">
        <f t="shared" si="43"/>
        <v>13.47219374</v>
      </c>
      <c r="R15" s="4">
        <f t="shared" si="44"/>
        <v>112153.4333</v>
      </c>
      <c r="S15" s="9">
        <f t="shared" si="45"/>
        <v>9388063004491</v>
      </c>
      <c r="T15" s="4">
        <f t="shared" si="46"/>
        <v>57477936762188</v>
      </c>
      <c r="U15" s="12">
        <f t="shared" si="47"/>
        <v>74843724508</v>
      </c>
      <c r="V15" s="4">
        <f t="shared" si="48"/>
        <v>135448.1679</v>
      </c>
      <c r="W15" s="6">
        <f t="shared" si="32"/>
        <v>7.32957E+16</v>
      </c>
      <c r="X15" s="4"/>
      <c r="Y15" s="4"/>
    </row>
    <row r="16">
      <c r="A16" s="10" t="s">
        <v>36</v>
      </c>
      <c r="B16" s="1" t="s">
        <v>37</v>
      </c>
      <c r="C16" s="4">
        <f t="shared" si="33"/>
        <v>1.99526E+18</v>
      </c>
      <c r="D16" s="4">
        <f t="shared" si="34"/>
        <v>4.76868E+17</v>
      </c>
      <c r="E16" s="4">
        <f t="shared" si="35"/>
        <v>1.99526E+25</v>
      </c>
      <c r="F16" s="4">
        <f t="shared" si="36"/>
        <v>1.24534E+37</v>
      </c>
      <c r="G16" s="4">
        <f t="shared" si="37"/>
        <v>554243965852</v>
      </c>
      <c r="H16" s="4">
        <f t="shared" si="38"/>
        <v>476879138.4</v>
      </c>
      <c r="I16" s="14">
        <v>9.0</v>
      </c>
      <c r="J16" s="14"/>
      <c r="K16" s="4">
        <f t="shared" si="39"/>
        <v>2.67569E+15</v>
      </c>
      <c r="L16" s="4"/>
      <c r="M16" s="4"/>
      <c r="N16" s="4">
        <f t="shared" si="40"/>
        <v>476867693277563</v>
      </c>
      <c r="O16" s="4">
        <f t="shared" si="41"/>
        <v>619308692568</v>
      </c>
      <c r="P16" s="4">
        <f t="shared" si="42"/>
        <v>29804.94615</v>
      </c>
      <c r="Q16" s="8">
        <f t="shared" si="43"/>
        <v>9.537582768</v>
      </c>
      <c r="R16" s="4">
        <f t="shared" si="44"/>
        <v>79398.55033</v>
      </c>
      <c r="S16" s="9">
        <f t="shared" si="45"/>
        <v>6646239627562</v>
      </c>
      <c r="T16" s="4">
        <f t="shared" si="46"/>
        <v>40691263025889</v>
      </c>
      <c r="U16" s="12">
        <f t="shared" si="47"/>
        <v>52985299253</v>
      </c>
      <c r="V16" s="4">
        <f t="shared" si="48"/>
        <v>95889.95949</v>
      </c>
      <c r="W16" s="6">
        <f t="shared" si="32"/>
        <v>5.18894E+16</v>
      </c>
      <c r="X16" s="4"/>
      <c r="Y16" s="4"/>
    </row>
    <row r="17">
      <c r="A17" s="1"/>
      <c r="B17" s="1"/>
      <c r="C17" s="4">
        <f t="shared" si="33"/>
        <v>177827941003892</v>
      </c>
      <c r="D17" s="4">
        <f t="shared" si="34"/>
        <v>42500877899930</v>
      </c>
      <c r="E17" s="4">
        <f t="shared" si="35"/>
        <v>1.77828E+21</v>
      </c>
      <c r="F17" s="4">
        <f t="shared" si="36"/>
        <v>1.10991E+33</v>
      </c>
      <c r="G17" s="4">
        <f t="shared" si="37"/>
        <v>49397045.45</v>
      </c>
      <c r="H17" s="4">
        <f t="shared" si="38"/>
        <v>42501.89795</v>
      </c>
      <c r="I17" s="14">
        <v>6.3</v>
      </c>
      <c r="J17" s="14"/>
      <c r="K17" s="4">
        <f t="shared" si="39"/>
        <v>238471155966</v>
      </c>
      <c r="L17" s="4"/>
      <c r="M17" s="4"/>
      <c r="N17" s="4">
        <f t="shared" si="40"/>
        <v>42500877900</v>
      </c>
      <c r="O17" s="4">
        <f t="shared" si="41"/>
        <v>55195945.32</v>
      </c>
      <c r="P17" s="4">
        <f t="shared" si="42"/>
        <v>2.656368622</v>
      </c>
      <c r="Q17" s="8">
        <f t="shared" si="43"/>
        <v>0.0008500379589</v>
      </c>
      <c r="R17" s="4">
        <f t="shared" si="44"/>
        <v>7.076403247</v>
      </c>
      <c r="S17" s="9">
        <f t="shared" si="45"/>
        <v>592346730.3</v>
      </c>
      <c r="T17" s="4">
        <f t="shared" si="46"/>
        <v>3626612635</v>
      </c>
      <c r="U17" s="12">
        <f t="shared" si="47"/>
        <v>4722319.767</v>
      </c>
      <c r="V17" s="4">
        <f t="shared" si="48"/>
        <v>8.546201635</v>
      </c>
      <c r="W17" s="6">
        <f t="shared" si="32"/>
        <v>4624645107583</v>
      </c>
      <c r="X17" s="4"/>
      <c r="Y17" s="4"/>
    </row>
    <row r="18">
      <c r="A18" s="15"/>
      <c r="B18" s="16" t="s">
        <v>38</v>
      </c>
      <c r="C18" s="15">
        <f>10^(1.5*J18+4.8)</f>
        <v>1.12202E+16</v>
      </c>
      <c r="D18" s="15">
        <f t="shared" si="34"/>
        <v>2.68162E+15</v>
      </c>
      <c r="E18" s="15">
        <f t="shared" si="35"/>
        <v>1.12202E+23</v>
      </c>
      <c r="F18" s="15">
        <f t="shared" si="36"/>
        <v>7.00309E+34</v>
      </c>
      <c r="G18" s="15">
        <f t="shared" si="37"/>
        <v>3116742862</v>
      </c>
      <c r="H18" s="15">
        <f t="shared" si="38"/>
        <v>2681688.466</v>
      </c>
      <c r="I18" s="7">
        <f>(log(C18*10000000,10)-11.8)/1.5</f>
        <v>7.5</v>
      </c>
      <c r="J18" s="17">
        <v>7.5</v>
      </c>
      <c r="K18" s="15">
        <f t="shared" si="39"/>
        <v>15046512730347</v>
      </c>
      <c r="L18" s="15"/>
      <c r="M18" s="15"/>
      <c r="N18" s="15">
        <f t="shared" si="40"/>
        <v>2681624105782</v>
      </c>
      <c r="O18" s="15">
        <f t="shared" si="41"/>
        <v>3482628709</v>
      </c>
      <c r="P18" s="15">
        <f t="shared" si="42"/>
        <v>167.6055291</v>
      </c>
      <c r="Q18" s="18">
        <f t="shared" si="43"/>
        <v>0.05363376933</v>
      </c>
      <c r="R18" s="15">
        <f t="shared" si="44"/>
        <v>446.4908601</v>
      </c>
      <c r="S18" s="19">
        <f t="shared" si="45"/>
        <v>37374551997</v>
      </c>
      <c r="T18" s="15">
        <f t="shared" si="46"/>
        <v>228823787736</v>
      </c>
      <c r="U18" s="20">
        <f t="shared" si="47"/>
        <v>297958234</v>
      </c>
      <c r="V18" s="15">
        <f t="shared" si="48"/>
        <v>539.2288689</v>
      </c>
      <c r="W18" s="21">
        <f t="shared" si="32"/>
        <v>291795379624394</v>
      </c>
      <c r="X18" s="15"/>
      <c r="Y18" s="15"/>
    </row>
    <row r="19">
      <c r="A19" s="15"/>
      <c r="B19" s="16" t="s">
        <v>39</v>
      </c>
      <c r="C19" s="15">
        <f>10^(11.8+1.5*I19)/10000000</f>
        <v>3.98107E+15</v>
      </c>
      <c r="D19" s="15">
        <f t="shared" si="34"/>
        <v>951476137622861</v>
      </c>
      <c r="E19" s="15">
        <f t="shared" si="35"/>
        <v>3.98107E+22</v>
      </c>
      <c r="F19" s="15">
        <f t="shared" si="36"/>
        <v>2.48479E+34</v>
      </c>
      <c r="G19" s="15">
        <f t="shared" si="37"/>
        <v>1105862098</v>
      </c>
      <c r="H19" s="15">
        <f t="shared" si="38"/>
        <v>951498.9736</v>
      </c>
      <c r="I19" s="2">
        <v>7.2</v>
      </c>
      <c r="J19" s="17"/>
      <c r="K19" s="15">
        <f t="shared" si="39"/>
        <v>5338704178001</v>
      </c>
      <c r="L19" s="15"/>
      <c r="M19" s="15"/>
      <c r="N19" s="15">
        <f t="shared" si="40"/>
        <v>951476137623</v>
      </c>
      <c r="O19" s="15">
        <f t="shared" si="41"/>
        <v>1235683296</v>
      </c>
      <c r="P19" s="15">
        <f t="shared" si="42"/>
        <v>59.46868585</v>
      </c>
      <c r="Q19" s="18">
        <f t="shared" si="43"/>
        <v>0.01902997947</v>
      </c>
      <c r="R19" s="15">
        <f t="shared" si="44"/>
        <v>158.4209353</v>
      </c>
      <c r="S19" s="19">
        <f t="shared" si="45"/>
        <v>13260991465</v>
      </c>
      <c r="T19" s="15">
        <f t="shared" si="46"/>
        <v>81189743664</v>
      </c>
      <c r="U19" s="20">
        <f t="shared" si="47"/>
        <v>105719570.8</v>
      </c>
      <c r="V19" s="15">
        <f t="shared" si="48"/>
        <v>191.3256226</v>
      </c>
      <c r="W19" s="21">
        <f t="shared" si="32"/>
        <v>103532907607229</v>
      </c>
      <c r="X19" s="15"/>
      <c r="Y19" s="15"/>
    </row>
    <row r="20">
      <c r="A20" s="4"/>
      <c r="B20" s="1" t="s">
        <v>40</v>
      </c>
      <c r="C20" s="11">
        <v>370000.0</v>
      </c>
      <c r="D20" s="4">
        <f t="shared" si="34"/>
        <v>88430</v>
      </c>
      <c r="E20" s="4">
        <f t="shared" si="35"/>
        <v>3700000000000</v>
      </c>
      <c r="F20" s="4">
        <f t="shared" si="36"/>
        <v>2.30936E+24</v>
      </c>
      <c r="G20" s="4">
        <f t="shared" si="37"/>
        <v>0.1027786</v>
      </c>
      <c r="H20" s="4">
        <f t="shared" si="38"/>
        <v>0.00008843212237</v>
      </c>
      <c r="I20" s="7">
        <f t="shared" ref="I20:I24" si="49">(log(C20*10000000,10)-11.8)/1.5</f>
        <v>0.5121344827</v>
      </c>
      <c r="J20" s="7"/>
      <c r="K20" s="4">
        <f t="shared" si="39"/>
        <v>496.1780877</v>
      </c>
      <c r="L20" s="4"/>
      <c r="M20" s="4"/>
      <c r="N20" s="4">
        <f t="shared" si="40"/>
        <v>88.43</v>
      </c>
      <c r="O20" s="4">
        <f t="shared" si="41"/>
        <v>0.1148441558</v>
      </c>
      <c r="P20" s="4">
        <f t="shared" si="42"/>
        <v>0.000000005527007648</v>
      </c>
      <c r="Q20" s="8">
        <f t="shared" si="43"/>
        <v>0</v>
      </c>
      <c r="R20" s="4">
        <f t="shared" si="44"/>
        <v>0.00000001472360972</v>
      </c>
      <c r="S20" s="9">
        <f t="shared" si="45"/>
        <v>1.232473868</v>
      </c>
      <c r="T20" s="4">
        <f t="shared" si="46"/>
        <v>7.545758373</v>
      </c>
      <c r="U20" s="12">
        <f t="shared" si="47"/>
        <v>0.009825555556</v>
      </c>
      <c r="V20" s="4">
        <f t="shared" si="48"/>
        <v>0.00000001778176471</v>
      </c>
      <c r="W20" s="6">
        <f t="shared" si="32"/>
        <v>9622.327516</v>
      </c>
      <c r="X20" s="4"/>
      <c r="Y20" s="4"/>
    </row>
    <row r="21">
      <c r="A21" s="4"/>
      <c r="B21" s="1"/>
      <c r="C21" s="11">
        <v>167751.0</v>
      </c>
      <c r="D21" s="4">
        <f t="shared" si="34"/>
        <v>40092.489</v>
      </c>
      <c r="E21" s="4">
        <f t="shared" si="35"/>
        <v>1677510000000</v>
      </c>
      <c r="F21" s="4">
        <f t="shared" si="36"/>
        <v>1.04702E+24</v>
      </c>
      <c r="G21" s="4">
        <f t="shared" si="37"/>
        <v>0.04659787278</v>
      </c>
      <c r="H21" s="4">
        <f t="shared" si="38"/>
        <v>0.00004009345124</v>
      </c>
      <c r="I21" s="7">
        <f t="shared" si="49"/>
        <v>0.2831100785</v>
      </c>
      <c r="J21" s="7"/>
      <c r="K21" s="4">
        <f t="shared" si="39"/>
        <v>224.9577578</v>
      </c>
      <c r="L21" s="4"/>
      <c r="M21" s="4"/>
      <c r="N21" s="4">
        <f t="shared" si="40"/>
        <v>40.092489</v>
      </c>
      <c r="O21" s="4">
        <f t="shared" si="41"/>
        <v>0.05206816753</v>
      </c>
      <c r="P21" s="4">
        <f t="shared" si="42"/>
        <v>0.000000002505840703</v>
      </c>
      <c r="Q21" s="8">
        <f t="shared" si="43"/>
        <v>0</v>
      </c>
      <c r="R21" s="4">
        <f t="shared" si="44"/>
        <v>0.000000006675406094</v>
      </c>
      <c r="S21" s="9">
        <f t="shared" si="45"/>
        <v>0.5587803345</v>
      </c>
      <c r="T21" s="4">
        <f t="shared" si="46"/>
        <v>3.421104089</v>
      </c>
      <c r="U21" s="12">
        <f t="shared" si="47"/>
        <v>0.004454721</v>
      </c>
      <c r="V21" s="4">
        <f t="shared" si="48"/>
        <v>0.000000008061915706</v>
      </c>
      <c r="W21" s="6">
        <f t="shared" si="32"/>
        <v>4362.581252</v>
      </c>
      <c r="X21" s="4"/>
      <c r="Y21" s="4"/>
    </row>
    <row r="22">
      <c r="A22" s="10" t="s">
        <v>41</v>
      </c>
      <c r="B22" s="1" t="s">
        <v>42</v>
      </c>
      <c r="C22" s="4">
        <f>D22/D2</f>
        <v>1046025.105</v>
      </c>
      <c r="D22" s="11">
        <v>250000.0</v>
      </c>
      <c r="E22" s="4">
        <f t="shared" si="35"/>
        <v>10460251046025</v>
      </c>
      <c r="F22" s="4">
        <f t="shared" si="36"/>
        <v>6.52878E+24</v>
      </c>
      <c r="G22" s="4">
        <f t="shared" si="37"/>
        <v>0.2905648536</v>
      </c>
      <c r="H22" s="4">
        <f t="shared" si="38"/>
        <v>0.0002500060001</v>
      </c>
      <c r="I22" s="7">
        <f t="shared" si="49"/>
        <v>0.8130280718</v>
      </c>
      <c r="J22" s="7"/>
      <c r="K22" s="4">
        <f t="shared" si="39"/>
        <v>1402.74253</v>
      </c>
      <c r="L22" s="4"/>
      <c r="M22" s="4"/>
      <c r="N22" s="4">
        <f t="shared" si="40"/>
        <v>250</v>
      </c>
      <c r="O22" s="4">
        <f t="shared" si="41"/>
        <v>0.3246753247</v>
      </c>
      <c r="P22" s="4">
        <f t="shared" si="42"/>
        <v>0.00000001562537501</v>
      </c>
      <c r="Q22" s="8">
        <f t="shared" si="43"/>
        <v>0</v>
      </c>
      <c r="R22" s="4">
        <f t="shared" si="44"/>
        <v>0.00000004162504163</v>
      </c>
      <c r="S22" s="9">
        <f t="shared" si="45"/>
        <v>3.484320557</v>
      </c>
      <c r="T22" s="4">
        <f t="shared" si="46"/>
        <v>21.33257484</v>
      </c>
      <c r="U22" s="12">
        <f t="shared" si="47"/>
        <v>0.02777777778</v>
      </c>
      <c r="V22" s="4">
        <f t="shared" si="48"/>
        <v>0.00000005027073591</v>
      </c>
      <c r="W22" s="6">
        <f t="shared" si="32"/>
        <v>27203.23283</v>
      </c>
      <c r="X22" s="4"/>
      <c r="Y22" s="4"/>
    </row>
    <row r="23">
      <c r="B23" s="1" t="s">
        <v>43</v>
      </c>
      <c r="C23" s="4">
        <f>D23/D2</f>
        <v>920502.0921</v>
      </c>
      <c r="D23" s="11">
        <v>220000.0</v>
      </c>
      <c r="E23" s="4">
        <f t="shared" si="35"/>
        <v>9205020920502</v>
      </c>
      <c r="F23" s="4">
        <f t="shared" si="36"/>
        <v>5.74532E+24</v>
      </c>
      <c r="G23" s="4">
        <f t="shared" si="37"/>
        <v>0.2556970711</v>
      </c>
      <c r="H23" s="4">
        <f t="shared" si="38"/>
        <v>0.0002200052801</v>
      </c>
      <c r="I23" s="7">
        <f t="shared" si="49"/>
        <v>0.7760165199</v>
      </c>
      <c r="J23" s="7"/>
      <c r="K23" s="4">
        <f t="shared" si="39"/>
        <v>1234.413426</v>
      </c>
      <c r="L23" s="4"/>
      <c r="M23" s="4"/>
      <c r="N23" s="4">
        <f t="shared" si="40"/>
        <v>220</v>
      </c>
      <c r="O23" s="4">
        <f t="shared" si="41"/>
        <v>0.2857142857</v>
      </c>
      <c r="P23" s="4">
        <f t="shared" si="42"/>
        <v>0.00000001375033001</v>
      </c>
      <c r="Q23" s="8">
        <f t="shared" si="43"/>
        <v>0</v>
      </c>
      <c r="R23" s="4">
        <f t="shared" si="44"/>
        <v>0.00000003663003663</v>
      </c>
      <c r="S23" s="9">
        <f t="shared" si="45"/>
        <v>3.066202091</v>
      </c>
      <c r="T23" s="4">
        <f t="shared" si="46"/>
        <v>18.77266586</v>
      </c>
      <c r="U23" s="12">
        <f t="shared" si="47"/>
        <v>0.02444444444</v>
      </c>
      <c r="V23" s="4">
        <f t="shared" si="48"/>
        <v>0.0000000442382476</v>
      </c>
      <c r="W23" s="6">
        <f t="shared" si="32"/>
        <v>23938.84489</v>
      </c>
      <c r="X23" s="4"/>
      <c r="Y23" s="4"/>
    </row>
    <row r="24">
      <c r="B24" s="1" t="s">
        <v>44</v>
      </c>
      <c r="C24" s="4">
        <f>D24/D2</f>
        <v>502092.0502</v>
      </c>
      <c r="D24" s="11">
        <v>120000.0</v>
      </c>
      <c r="E24" s="4">
        <f t="shared" si="35"/>
        <v>5020920502092</v>
      </c>
      <c r="F24" s="4">
        <f t="shared" si="36"/>
        <v>3.13381E+24</v>
      </c>
      <c r="G24" s="4">
        <f t="shared" si="37"/>
        <v>0.1394711297</v>
      </c>
      <c r="H24" s="4">
        <f t="shared" si="38"/>
        <v>0.0001200028801</v>
      </c>
      <c r="I24" s="7">
        <f t="shared" si="49"/>
        <v>0.6005222301</v>
      </c>
      <c r="J24" s="7"/>
      <c r="K24" s="4">
        <f t="shared" si="39"/>
        <v>673.3164144</v>
      </c>
      <c r="L24" s="4"/>
      <c r="M24" s="4"/>
      <c r="N24" s="4">
        <f t="shared" si="40"/>
        <v>120</v>
      </c>
      <c r="O24" s="4">
        <f t="shared" si="41"/>
        <v>0.1558441558</v>
      </c>
      <c r="P24" s="4">
        <f t="shared" si="42"/>
        <v>0.000000007500180004</v>
      </c>
      <c r="Q24" s="8">
        <f t="shared" si="43"/>
        <v>0</v>
      </c>
      <c r="R24" s="4">
        <f t="shared" si="44"/>
        <v>0.00000001998001998</v>
      </c>
      <c r="S24" s="9">
        <f t="shared" si="45"/>
        <v>1.672473868</v>
      </c>
      <c r="T24" s="4">
        <f t="shared" si="46"/>
        <v>10.23963592</v>
      </c>
      <c r="U24" s="12">
        <f t="shared" si="47"/>
        <v>0.01333333333</v>
      </c>
      <c r="V24" s="4">
        <f t="shared" si="48"/>
        <v>0.00000002412995324</v>
      </c>
      <c r="W24" s="6">
        <f t="shared" si="32"/>
        <v>13057.55176</v>
      </c>
      <c r="X24" s="4"/>
      <c r="Y24" s="4"/>
    </row>
    <row r="25">
      <c r="A25" s="4"/>
      <c r="B25" s="4"/>
      <c r="C25" s="4"/>
      <c r="D25" s="4"/>
      <c r="E25" s="4"/>
      <c r="F25" s="4"/>
      <c r="G25" s="4"/>
      <c r="H25" s="4"/>
      <c r="I25" s="7"/>
      <c r="J25" s="7"/>
      <c r="K25" s="4"/>
      <c r="L25" s="4"/>
      <c r="M25" s="4"/>
      <c r="N25" s="4"/>
      <c r="O25" s="4"/>
      <c r="P25" s="4"/>
      <c r="Q25" s="8"/>
      <c r="R25" s="4"/>
      <c r="S25" s="9"/>
      <c r="T25" s="4"/>
      <c r="U25" s="12"/>
      <c r="V25" s="4"/>
      <c r="X25" s="4"/>
      <c r="Y25" s="4"/>
    </row>
    <row r="26">
      <c r="A26" s="22" t="s">
        <v>45</v>
      </c>
      <c r="B26" s="1" t="s">
        <v>46</v>
      </c>
      <c r="C26" s="23">
        <f>D26/D2</f>
        <v>32635983.26</v>
      </c>
      <c r="D26" s="11">
        <v>7800000.0</v>
      </c>
      <c r="E26" s="4">
        <f t="shared" ref="E26:E28" si="50">C26*10^7</f>
        <v>326359832635983</v>
      </c>
      <c r="F26" s="4">
        <f t="shared" ref="F26:F28" si="51">C26*6.24150974*10^18</f>
        <v>2.03698E+26</v>
      </c>
      <c r="G26" s="4">
        <f t="shared" ref="G26:G28" si="52">C26*2.7778*10^(-7)</f>
        <v>9.065623431</v>
      </c>
      <c r="H26" s="4">
        <f t="shared" ref="H26:H28" si="53">C26/4184000000</f>
        <v>0.007800187204</v>
      </c>
      <c r="I26" s="7">
        <f t="shared" ref="I26:I28" si="54">(log(C26*10000000,10)-11.8)/1.5</f>
        <v>1.809131134</v>
      </c>
      <c r="J26" s="7"/>
      <c r="K26" s="4">
        <f t="shared" ref="K26:K28" si="55">C26/(7.457*10^2)</f>
        <v>43765.56694</v>
      </c>
      <c r="L26" s="4"/>
      <c r="M26" s="4"/>
      <c r="N26" s="4">
        <f t="shared" ref="N26:N28" si="56">C26*0.239/1000</f>
        <v>7800</v>
      </c>
      <c r="O26" s="4">
        <f t="shared" ref="O26:O28" si="57">C26*0.239/770000</f>
        <v>10.12987013</v>
      </c>
      <c r="P26" s="4">
        <f t="shared" ref="P26:P28" si="58">C26/66944000000000</f>
        <v>0.0000004875117003</v>
      </c>
      <c r="Q26" s="8">
        <f t="shared" ref="Q26:Q28" si="59">C26/209200000000000000</f>
        <v>0.0000000001560037441</v>
      </c>
      <c r="R26" s="4">
        <f t="shared" ref="R26:R28" si="60">C26/25129707112970.7</f>
        <v>0.000001298701299</v>
      </c>
      <c r="S26" s="9">
        <f t="shared" ref="S26:S28" si="61">C26/300209.205020921</f>
        <v>108.7108014</v>
      </c>
      <c r="T26" s="4">
        <f t="shared" ref="T26:T28" si="62">C26/49034.170153417</f>
        <v>665.5763351</v>
      </c>
      <c r="U26" s="12">
        <f t="shared" ref="U26:U28" si="63">N26/9000</f>
        <v>0.8666666667</v>
      </c>
      <c r="V26" s="4">
        <f t="shared" ref="V26:V28" si="64">C26/20807833537331.7</f>
        <v>0.00000156844696</v>
      </c>
      <c r="W26" s="6">
        <f t="shared" ref="W26:W28" si="65">C26/38.4522351157943</f>
        <v>848740.8642</v>
      </c>
      <c r="X26" s="4"/>
      <c r="Y26" s="4"/>
    </row>
    <row r="27">
      <c r="A27" s="22" t="s">
        <v>45</v>
      </c>
      <c r="B27" s="1" t="s">
        <v>47</v>
      </c>
      <c r="C27" s="24">
        <f>D27/D2</f>
        <v>37656.90377</v>
      </c>
      <c r="D27" s="11">
        <v>9000.0</v>
      </c>
      <c r="E27" s="4">
        <f t="shared" si="50"/>
        <v>376569037657</v>
      </c>
      <c r="F27" s="4">
        <f t="shared" si="51"/>
        <v>2.35036E+23</v>
      </c>
      <c r="G27" s="4">
        <f t="shared" si="52"/>
        <v>0.01046033473</v>
      </c>
      <c r="H27" s="4">
        <f t="shared" si="53"/>
        <v>0.000009000216005</v>
      </c>
      <c r="I27" s="7">
        <f t="shared" si="54"/>
        <v>-0.1494369277</v>
      </c>
      <c r="J27" s="7"/>
      <c r="K27" s="4">
        <f t="shared" si="55"/>
        <v>50.49873108</v>
      </c>
      <c r="L27" s="4"/>
      <c r="M27" s="4"/>
      <c r="N27" s="4">
        <f t="shared" si="56"/>
        <v>9</v>
      </c>
      <c r="O27" s="4">
        <f t="shared" si="57"/>
        <v>0.01168831169</v>
      </c>
      <c r="P27" s="4">
        <f t="shared" si="58"/>
        <v>0.0000000005625135003</v>
      </c>
      <c r="Q27" s="8">
        <f t="shared" si="59"/>
        <v>0</v>
      </c>
      <c r="R27" s="4">
        <f t="shared" si="60"/>
        <v>0.000000001498501499</v>
      </c>
      <c r="S27" s="9">
        <f t="shared" si="61"/>
        <v>0.1254355401</v>
      </c>
      <c r="T27" s="4">
        <f t="shared" si="62"/>
        <v>0.7679726943</v>
      </c>
      <c r="U27" s="12">
        <f t="shared" si="63"/>
        <v>0.001</v>
      </c>
      <c r="V27" s="4">
        <f t="shared" si="64"/>
        <v>0.000000001809746493</v>
      </c>
      <c r="W27" s="6">
        <f t="shared" si="65"/>
        <v>979.3163818</v>
      </c>
      <c r="X27" s="4"/>
      <c r="Y27" s="4"/>
    </row>
    <row r="28">
      <c r="A28" s="10" t="s">
        <v>48</v>
      </c>
      <c r="B28" s="1" t="s">
        <v>49</v>
      </c>
      <c r="C28" s="13">
        <f>8.314*10^10</f>
        <v>83140000000</v>
      </c>
      <c r="D28" s="4">
        <f>C28*0.239</f>
        <v>19870460000</v>
      </c>
      <c r="E28" s="4">
        <f t="shared" si="50"/>
        <v>8.314E+17</v>
      </c>
      <c r="F28" s="4">
        <f t="shared" si="51"/>
        <v>5.18919E+29</v>
      </c>
      <c r="G28" s="4">
        <f t="shared" si="52"/>
        <v>23094.6292</v>
      </c>
      <c r="H28" s="4">
        <f t="shared" si="53"/>
        <v>19.8709369</v>
      </c>
      <c r="I28" s="7">
        <f t="shared" si="54"/>
        <v>4.079873347</v>
      </c>
      <c r="J28" s="7"/>
      <c r="K28" s="4">
        <f t="shared" si="55"/>
        <v>111492557.3</v>
      </c>
      <c r="L28" s="4"/>
      <c r="M28" s="4"/>
      <c r="N28" s="4">
        <f t="shared" si="56"/>
        <v>19870460</v>
      </c>
      <c r="O28" s="4">
        <f t="shared" si="57"/>
        <v>25805.79221</v>
      </c>
      <c r="P28" s="4">
        <f t="shared" si="58"/>
        <v>0.001241933556</v>
      </c>
      <c r="Q28" s="8">
        <f t="shared" si="59"/>
        <v>0.000000397418738</v>
      </c>
      <c r="R28" s="4">
        <f t="shared" si="60"/>
        <v>0.003308434898</v>
      </c>
      <c r="S28" s="9">
        <f t="shared" si="61"/>
        <v>276940.2091</v>
      </c>
      <c r="T28" s="4">
        <f t="shared" si="62"/>
        <v>1695552.3</v>
      </c>
      <c r="U28" s="12">
        <f t="shared" si="63"/>
        <v>2207.828889</v>
      </c>
      <c r="V28" s="4">
        <f t="shared" si="64"/>
        <v>0.003995610588</v>
      </c>
      <c r="W28" s="6">
        <f t="shared" si="65"/>
        <v>2162162999</v>
      </c>
      <c r="X28" s="4"/>
      <c r="Y28" s="4"/>
    </row>
    <row r="29">
      <c r="A29" s="4"/>
      <c r="B29" s="4"/>
      <c r="C29" s="4"/>
      <c r="D29" s="4"/>
      <c r="E29" s="4"/>
      <c r="F29" s="4"/>
      <c r="G29" s="4"/>
      <c r="H29" s="4"/>
      <c r="I29" s="7"/>
      <c r="J29" s="7"/>
      <c r="K29" s="4"/>
      <c r="L29" s="4"/>
      <c r="M29" s="4"/>
      <c r="N29" s="4"/>
      <c r="O29" s="4"/>
      <c r="P29" s="4"/>
      <c r="Q29" s="8"/>
      <c r="R29" s="4"/>
      <c r="S29" s="9"/>
      <c r="T29" s="4"/>
      <c r="U29" s="4"/>
      <c r="V29" s="4"/>
      <c r="X29" s="4"/>
      <c r="Y29" s="4"/>
    </row>
    <row r="30">
      <c r="A30" s="10" t="s">
        <v>50</v>
      </c>
      <c r="B30" s="1" t="s">
        <v>51</v>
      </c>
      <c r="C30" s="13">
        <f>60*60*1.74*10^17</f>
        <v>6.264E+20</v>
      </c>
      <c r="D30" s="4">
        <f t="shared" ref="D30:D34" si="66">C30*0.239</f>
        <v>1.4971E+20</v>
      </c>
      <c r="E30" s="4">
        <f t="shared" ref="E30:E34" si="67">C30*10^7</f>
        <v>6.264E+27</v>
      </c>
      <c r="F30" s="4">
        <f t="shared" ref="F30:F34" si="68">C30*6.24150974*10^18</f>
        <v>3.90968E+39</v>
      </c>
      <c r="G30" s="4">
        <f t="shared" ref="G30:G31" si="69">C30*2.7778*10^(-7)</f>
        <v>174001392000000</v>
      </c>
      <c r="H30" s="4">
        <f t="shared" ref="H30:H34" si="70">C30/4184000000</f>
        <v>149713193117</v>
      </c>
      <c r="I30" s="7">
        <f t="shared" ref="I30:I34" si="71">(log(C30*10000000,10)-11.8)/1.5</f>
        <v>10.66456783</v>
      </c>
      <c r="J30" s="7"/>
      <c r="K30" s="4">
        <f t="shared" ref="K30:K34" si="72">C30/(7.457*10^2)</f>
        <v>8.40016E+17</v>
      </c>
      <c r="L30" s="4"/>
      <c r="M30" s="4"/>
      <c r="N30" s="4">
        <f t="shared" ref="N30:N34" si="73">C30*0.239/1000</f>
        <v>1.4971E+17</v>
      </c>
      <c r="O30" s="4">
        <f t="shared" ref="O30:O34" si="74">C30*0.239/770000</f>
        <v>194428051948052</v>
      </c>
      <c r="P30" s="4">
        <f t="shared" ref="P30:P34" si="75">C30/66944000000000</f>
        <v>9357074.57</v>
      </c>
      <c r="Q30" s="8">
        <f t="shared" ref="Q30:Q34" si="76">C30/209200000000000000</f>
        <v>2994.263862</v>
      </c>
      <c r="R30" s="4">
        <f t="shared" ref="R30:R34" si="77">C30/25129707112970.7</f>
        <v>24926673.33</v>
      </c>
      <c r="S30" s="9">
        <f t="shared" ref="S30:S34" si="78">C30/300209.205020921</f>
        <v>2.08654E+15</v>
      </c>
      <c r="T30" s="4">
        <f t="shared" ref="T30:T34" si="79">C30/49034.170153417</f>
        <v>1.27748E+16</v>
      </c>
      <c r="U30" s="4">
        <f t="shared" ref="U30:U34" si="80">N30/1000</f>
        <v>149709600000000</v>
      </c>
      <c r="V30" s="4">
        <f t="shared" ref="V30:V42" si="81">C30/20807833537331.7</f>
        <v>30104047.06</v>
      </c>
      <c r="W30" s="6">
        <f t="shared" ref="W30:W34" si="82">C30/38.4522351157943</f>
        <v>1.62903E+19</v>
      </c>
      <c r="X30" s="4"/>
      <c r="Y30" s="4"/>
    </row>
    <row r="31">
      <c r="A31" s="10" t="s">
        <v>50</v>
      </c>
      <c r="B31" s="1" t="s">
        <v>52</v>
      </c>
      <c r="C31" s="13">
        <f>1360.8*60*60</f>
        <v>4898880</v>
      </c>
      <c r="D31" s="4">
        <f t="shared" si="66"/>
        <v>1170832.32</v>
      </c>
      <c r="E31" s="4">
        <f t="shared" si="67"/>
        <v>48988800000000</v>
      </c>
      <c r="F31" s="4">
        <f t="shared" si="68"/>
        <v>3.05764E+25</v>
      </c>
      <c r="G31" s="4">
        <f t="shared" si="69"/>
        <v>1.360810886</v>
      </c>
      <c r="H31" s="4">
        <f t="shared" si="70"/>
        <v>0.001170860421</v>
      </c>
      <c r="I31" s="7">
        <f t="shared" si="71"/>
        <v>1.260064534</v>
      </c>
      <c r="J31" s="7"/>
      <c r="K31" s="4">
        <f t="shared" si="72"/>
        <v>6569.505163</v>
      </c>
      <c r="L31" s="4"/>
      <c r="M31" s="4"/>
      <c r="N31" s="4">
        <f t="shared" si="73"/>
        <v>1170.83232</v>
      </c>
      <c r="O31" s="4">
        <f t="shared" si="74"/>
        <v>1.520561455</v>
      </c>
      <c r="P31" s="4">
        <f t="shared" si="75"/>
        <v>0.00000007317877629</v>
      </c>
      <c r="Q31" s="8">
        <f t="shared" si="76"/>
        <v>0</v>
      </c>
      <c r="R31" s="4">
        <f t="shared" si="77"/>
        <v>0.0000001949437762</v>
      </c>
      <c r="S31" s="9">
        <f t="shared" si="78"/>
        <v>16.31822049</v>
      </c>
      <c r="T31" s="4">
        <f t="shared" si="79"/>
        <v>99.90747237</v>
      </c>
      <c r="U31" s="4">
        <f t="shared" si="80"/>
        <v>1.17083232</v>
      </c>
      <c r="V31" s="4">
        <f t="shared" si="81"/>
        <v>0.0000002354344094</v>
      </c>
      <c r="W31" s="6">
        <f t="shared" si="82"/>
        <v>127401.6968</v>
      </c>
      <c r="X31" s="4"/>
      <c r="Y31" s="4"/>
    </row>
    <row r="32">
      <c r="A32" s="10" t="s">
        <v>53</v>
      </c>
      <c r="B32" s="1" t="s">
        <v>54</v>
      </c>
      <c r="C32" s="4">
        <f>G32/G2</f>
        <v>9719922240622</v>
      </c>
      <c r="D32" s="4">
        <f t="shared" si="66"/>
        <v>2323061415509</v>
      </c>
      <c r="E32" s="4">
        <f t="shared" si="67"/>
        <v>9.71992E+19</v>
      </c>
      <c r="F32" s="4">
        <f t="shared" si="68"/>
        <v>6.0667E+31</v>
      </c>
      <c r="G32" s="11">
        <v>2700000.0</v>
      </c>
      <c r="H32" s="4">
        <f t="shared" si="70"/>
        <v>2323.11717</v>
      </c>
      <c r="I32" s="7">
        <f t="shared" si="71"/>
        <v>5.45844186</v>
      </c>
      <c r="J32" s="7"/>
      <c r="K32" s="4">
        <f t="shared" si="72"/>
        <v>13034628189</v>
      </c>
      <c r="L32" s="4"/>
      <c r="M32" s="4"/>
      <c r="N32" s="4">
        <f t="shared" si="73"/>
        <v>2323061416</v>
      </c>
      <c r="O32" s="4">
        <f t="shared" si="74"/>
        <v>3016962.877</v>
      </c>
      <c r="P32" s="4">
        <f t="shared" si="75"/>
        <v>0.1451948231</v>
      </c>
      <c r="Q32" s="8">
        <f t="shared" si="76"/>
        <v>0.00004646234341</v>
      </c>
      <c r="R32" s="4">
        <f t="shared" si="77"/>
        <v>0.3867901125</v>
      </c>
      <c r="S32" s="9">
        <f t="shared" si="78"/>
        <v>32377162.59</v>
      </c>
      <c r="T32" s="4">
        <f t="shared" si="79"/>
        <v>198227526</v>
      </c>
      <c r="U32" s="4">
        <f t="shared" si="80"/>
        <v>2323061.416</v>
      </c>
      <c r="V32" s="4">
        <f t="shared" si="81"/>
        <v>0.4671280277</v>
      </c>
      <c r="W32" s="6">
        <f t="shared" si="82"/>
        <v>252779122237</v>
      </c>
      <c r="X32" s="4"/>
      <c r="Y32" s="4"/>
    </row>
    <row r="33">
      <c r="A33" s="10" t="s">
        <v>55</v>
      </c>
      <c r="B33" s="1" t="s">
        <v>56</v>
      </c>
      <c r="C33" s="4">
        <f>G33/G2</f>
        <v>20807833537332</v>
      </c>
      <c r="D33" s="4">
        <f t="shared" si="66"/>
        <v>4973072215422</v>
      </c>
      <c r="E33" s="4">
        <f t="shared" si="67"/>
        <v>2.08078E+20</v>
      </c>
      <c r="F33" s="4">
        <f t="shared" si="68"/>
        <v>1.29872E+32</v>
      </c>
      <c r="G33" s="11">
        <v>5780000.0</v>
      </c>
      <c r="H33" s="4">
        <f t="shared" si="70"/>
        <v>4973.191572</v>
      </c>
      <c r="I33" s="7">
        <f t="shared" si="71"/>
        <v>5.67881791</v>
      </c>
      <c r="J33" s="7"/>
      <c r="K33" s="4">
        <f t="shared" si="72"/>
        <v>27903759605</v>
      </c>
      <c r="L33" s="4"/>
      <c r="M33" s="4"/>
      <c r="N33" s="4">
        <f t="shared" si="73"/>
        <v>4973072215</v>
      </c>
      <c r="O33" s="4">
        <f t="shared" si="74"/>
        <v>6458535.345</v>
      </c>
      <c r="P33" s="4">
        <f t="shared" si="75"/>
        <v>0.3108244733</v>
      </c>
      <c r="Q33" s="8">
        <f t="shared" si="76"/>
        <v>0.00009946383144</v>
      </c>
      <c r="R33" s="4">
        <f t="shared" si="77"/>
        <v>0.8280173519</v>
      </c>
      <c r="S33" s="9">
        <f t="shared" si="78"/>
        <v>69311111.02</v>
      </c>
      <c r="T33" s="4">
        <f t="shared" si="79"/>
        <v>424353740.9</v>
      </c>
      <c r="U33" s="4">
        <f t="shared" si="80"/>
        <v>4973072.215</v>
      </c>
      <c r="V33" s="4">
        <f t="shared" si="81"/>
        <v>1</v>
      </c>
      <c r="W33" s="6">
        <f t="shared" si="82"/>
        <v>541134565381</v>
      </c>
      <c r="X33" s="4"/>
      <c r="Y33" s="4"/>
    </row>
    <row r="34">
      <c r="A34" s="10" t="s">
        <v>57</v>
      </c>
      <c r="B34" s="1" t="s">
        <v>58</v>
      </c>
      <c r="C34" s="4">
        <f>G34/G2</f>
        <v>664630282958</v>
      </c>
      <c r="D34" s="4">
        <f t="shared" si="66"/>
        <v>158846637627</v>
      </c>
      <c r="E34" s="4">
        <f t="shared" si="67"/>
        <v>6.6463E+18</v>
      </c>
      <c r="F34" s="4">
        <f t="shared" si="68"/>
        <v>4.1483E+30</v>
      </c>
      <c r="G34" s="11">
        <v>184621.0</v>
      </c>
      <c r="H34" s="4">
        <f t="shared" si="70"/>
        <v>158.85045</v>
      </c>
      <c r="I34" s="7">
        <f t="shared" si="71"/>
        <v>4.681720084</v>
      </c>
      <c r="J34" s="7"/>
      <c r="K34" s="4">
        <f t="shared" si="72"/>
        <v>891283737.4</v>
      </c>
      <c r="L34" s="4"/>
      <c r="M34" s="4"/>
      <c r="N34" s="4">
        <f t="shared" si="73"/>
        <v>158846637.6</v>
      </c>
      <c r="O34" s="4">
        <f t="shared" si="74"/>
        <v>206294.3346</v>
      </c>
      <c r="P34" s="4">
        <f t="shared" si="75"/>
        <v>0.009928153127</v>
      </c>
      <c r="Q34" s="8">
        <f t="shared" si="76"/>
        <v>0.000003177009001</v>
      </c>
      <c r="R34" s="4">
        <f t="shared" si="77"/>
        <v>0.02644799161</v>
      </c>
      <c r="S34" s="9">
        <f t="shared" si="78"/>
        <v>2213890.42</v>
      </c>
      <c r="T34" s="4">
        <f t="shared" si="79"/>
        <v>13554431.14</v>
      </c>
      <c r="U34" s="4">
        <f t="shared" si="80"/>
        <v>158846.6376</v>
      </c>
      <c r="V34" s="4">
        <f t="shared" si="81"/>
        <v>0.03194134948</v>
      </c>
      <c r="W34" s="6">
        <f t="shared" si="82"/>
        <v>17284568269</v>
      </c>
      <c r="X34" s="4"/>
      <c r="Y34" s="4"/>
    </row>
    <row r="35">
      <c r="A35" s="4"/>
      <c r="B35" s="4"/>
      <c r="C35" s="4"/>
      <c r="D35" s="4"/>
      <c r="E35" s="4"/>
      <c r="F35" s="4"/>
      <c r="G35" s="4"/>
      <c r="H35" s="4"/>
      <c r="I35" s="7"/>
      <c r="J35" s="7"/>
      <c r="K35" s="4"/>
      <c r="L35" s="4"/>
      <c r="M35" s="4"/>
      <c r="N35" s="4"/>
      <c r="O35" s="4"/>
      <c r="P35" s="4"/>
      <c r="Q35" s="8"/>
      <c r="R35" s="4"/>
      <c r="S35" s="9"/>
      <c r="T35" s="4"/>
      <c r="U35" s="4"/>
      <c r="V35" s="4">
        <f t="shared" si="81"/>
        <v>0</v>
      </c>
      <c r="X35" s="4"/>
      <c r="Y35" s="4"/>
    </row>
    <row r="36">
      <c r="A36" s="10" t="s">
        <v>59</v>
      </c>
      <c r="B36" s="1" t="s">
        <v>16</v>
      </c>
      <c r="C36" s="4">
        <f>D36/D2</f>
        <v>25129707112971</v>
      </c>
      <c r="D36" s="11">
        <v>6.006E12</v>
      </c>
      <c r="E36" s="4">
        <f>C36*10^7</f>
        <v>2.51297E+20</v>
      </c>
      <c r="F36" s="4">
        <f>C36*6.24150974*10^18</f>
        <v>1.56847E+32</v>
      </c>
      <c r="G36" s="4">
        <f>C36*2.7778*10^(-7)</f>
        <v>6980530.042</v>
      </c>
      <c r="H36" s="4">
        <f>C36/4184000000</f>
        <v>6006.144147</v>
      </c>
      <c r="I36" s="7">
        <f>(log(C36*10000000,10)-11.8)/1.5</f>
        <v>5.733458285</v>
      </c>
      <c r="J36" s="7"/>
      <c r="K36" s="4">
        <f>C36/(7.457*10^2)</f>
        <v>33699486540</v>
      </c>
      <c r="L36" s="4"/>
      <c r="M36" s="4"/>
      <c r="N36" s="4">
        <f>C36*0.239/1000</f>
        <v>6006000000</v>
      </c>
      <c r="O36" s="4">
        <f>C36*0.239/770000</f>
        <v>7800000</v>
      </c>
      <c r="P36" s="4">
        <f>C36/66944000000000</f>
        <v>0.3753840092</v>
      </c>
      <c r="Q36" s="8">
        <f>C36/209200000000000000</f>
        <v>0.0001201228829</v>
      </c>
      <c r="R36" s="4">
        <f>C36/25129707112970.7</f>
        <v>1</v>
      </c>
      <c r="S36" s="9">
        <f>C36/300209.205020921</f>
        <v>83707317.07</v>
      </c>
      <c r="T36" s="4">
        <f>C36/49034.170153417</f>
        <v>512493778</v>
      </c>
      <c r="U36" s="4">
        <f>N36/1000</f>
        <v>6006000</v>
      </c>
      <c r="V36" s="4">
        <f t="shared" si="81"/>
        <v>1.207704159</v>
      </c>
      <c r="W36" s="6">
        <f>C36/38.4522351157943</f>
        <v>653530465454</v>
      </c>
      <c r="X36" s="4"/>
      <c r="Y36" s="4"/>
    </row>
    <row r="37">
      <c r="A37" s="4"/>
      <c r="B37" s="4"/>
      <c r="C37" s="4"/>
      <c r="D37" s="4"/>
      <c r="E37" s="4"/>
      <c r="F37" s="4"/>
      <c r="G37" s="4"/>
      <c r="H37" s="4"/>
      <c r="I37" s="7"/>
      <c r="J37" s="7"/>
      <c r="K37" s="4"/>
      <c r="L37" s="4"/>
      <c r="M37" s="4"/>
      <c r="N37" s="4"/>
      <c r="O37" s="4"/>
      <c r="P37" s="4"/>
      <c r="Q37" s="8"/>
      <c r="R37" s="4"/>
      <c r="S37" s="9"/>
      <c r="T37" s="4"/>
      <c r="U37" s="4"/>
      <c r="V37" s="4">
        <f t="shared" si="81"/>
        <v>0</v>
      </c>
      <c r="X37" s="4"/>
      <c r="Y37" s="4"/>
    </row>
    <row r="38">
      <c r="A38" s="4"/>
      <c r="B38" s="4"/>
      <c r="C38" s="4"/>
      <c r="D38" s="4"/>
      <c r="E38" s="4"/>
      <c r="F38" s="4"/>
      <c r="G38" s="4"/>
      <c r="H38" s="4"/>
      <c r="I38" s="7"/>
      <c r="J38" s="7"/>
      <c r="K38" s="4"/>
      <c r="L38" s="4"/>
      <c r="M38" s="4"/>
      <c r="N38" s="4"/>
      <c r="O38" s="4"/>
      <c r="P38" s="4"/>
      <c r="Q38" s="8"/>
      <c r="R38" s="4"/>
      <c r="S38" s="9"/>
      <c r="T38" s="4"/>
      <c r="U38" s="4"/>
      <c r="V38" s="4">
        <f t="shared" si="81"/>
        <v>0</v>
      </c>
      <c r="X38" s="4"/>
      <c r="Y38" s="4"/>
    </row>
    <row r="39">
      <c r="A39" s="10" t="s">
        <v>60</v>
      </c>
      <c r="B39" s="1" t="s">
        <v>61</v>
      </c>
      <c r="C39" s="4">
        <f>D39/D2</f>
        <v>2401673.64</v>
      </c>
      <c r="D39" s="11">
        <v>574000.0</v>
      </c>
      <c r="E39" s="4">
        <f t="shared" ref="E39:E42" si="83">C39*10^7</f>
        <v>24016736401674</v>
      </c>
      <c r="F39" s="4">
        <f t="shared" ref="F39:F42" si="84">C39*6.24150974*10^18</f>
        <v>1.49901E+25</v>
      </c>
      <c r="G39" s="4">
        <f t="shared" ref="G39:G41" si="85">C39*2.7778*10^(-7)</f>
        <v>0.6671369038</v>
      </c>
      <c r="H39" s="4">
        <f t="shared" ref="H39:H42" si="86">C39/4184000000</f>
        <v>0.0005740137763</v>
      </c>
      <c r="I39" s="7">
        <f t="shared" ref="I39:I42" si="87">(log(C39*10000000,10)-11.8)/1.5</f>
        <v>1.053675994</v>
      </c>
      <c r="J39" s="7"/>
      <c r="K39" s="4">
        <f t="shared" ref="K39:K42" si="88">C39/(7.457*10^2)</f>
        <v>3220.696849</v>
      </c>
      <c r="L39" s="4"/>
      <c r="M39" s="4"/>
      <c r="N39" s="4">
        <f t="shared" ref="N39:N42" si="89">C39*0.239/1000</f>
        <v>574</v>
      </c>
      <c r="O39" s="4">
        <f t="shared" ref="O39:O42" si="90">C39*0.239/770000</f>
        <v>0.7454545455</v>
      </c>
      <c r="P39" s="4">
        <f t="shared" ref="P39:P42" si="91">C39/66944000000000</f>
        <v>0.00000003587586102</v>
      </c>
      <c r="Q39" s="8">
        <f t="shared" ref="Q39:Q42" si="92">C39/209200000000000000</f>
        <v>0</v>
      </c>
      <c r="R39" s="4">
        <f t="shared" ref="R39:R42" si="93">C39/25129707112970.7</f>
        <v>0.00000009557109557</v>
      </c>
      <c r="S39" s="9">
        <f>C39/300209.205020921</f>
        <v>8</v>
      </c>
      <c r="T39" s="4">
        <f t="shared" ref="T39:T42" si="94">C39/49034.170153417</f>
        <v>48.97959184</v>
      </c>
      <c r="U39" s="4">
        <f t="shared" ref="U39:U42" si="95">N39/1000</f>
        <v>0.574</v>
      </c>
      <c r="V39" s="4">
        <f t="shared" si="81"/>
        <v>0.0000001154216096</v>
      </c>
      <c r="W39" s="6">
        <f t="shared" ref="W39:W42" si="96">C39/38.4522351157943</f>
        <v>62458.62257</v>
      </c>
      <c r="X39" s="4"/>
      <c r="Y39" s="4"/>
    </row>
    <row r="40">
      <c r="A40" s="4"/>
      <c r="B40" s="1" t="s">
        <v>62</v>
      </c>
      <c r="C40" s="4">
        <f>D40/D2</f>
        <v>300209.205</v>
      </c>
      <c r="D40" s="11">
        <v>71750.0</v>
      </c>
      <c r="E40" s="4">
        <f t="shared" si="83"/>
        <v>3002092050209</v>
      </c>
      <c r="F40" s="4">
        <f t="shared" si="84"/>
        <v>1.87376E+24</v>
      </c>
      <c r="G40" s="4">
        <f t="shared" si="85"/>
        <v>0.08339211297</v>
      </c>
      <c r="H40" s="4">
        <f t="shared" si="86"/>
        <v>0.00007175172204</v>
      </c>
      <c r="I40" s="7">
        <f t="shared" si="87"/>
        <v>0.451616003</v>
      </c>
      <c r="J40" s="7"/>
      <c r="K40" s="4">
        <f t="shared" si="88"/>
        <v>402.5871061</v>
      </c>
      <c r="L40" s="4"/>
      <c r="M40" s="4"/>
      <c r="N40" s="4">
        <f t="shared" si="89"/>
        <v>71.75</v>
      </c>
      <c r="O40" s="4">
        <f t="shared" si="90"/>
        <v>0.09318181818</v>
      </c>
      <c r="P40" s="4">
        <f t="shared" si="91"/>
        <v>0.000000004484482628</v>
      </c>
      <c r="Q40" s="8">
        <f t="shared" si="92"/>
        <v>0</v>
      </c>
      <c r="R40" s="4">
        <f t="shared" si="93"/>
        <v>0.00000001194638695</v>
      </c>
      <c r="S40" s="6">
        <v>1.0</v>
      </c>
      <c r="T40" s="4">
        <f t="shared" si="94"/>
        <v>6.12244898</v>
      </c>
      <c r="U40" s="4">
        <f t="shared" si="95"/>
        <v>0.07175</v>
      </c>
      <c r="V40" s="4">
        <f t="shared" si="81"/>
        <v>0.00000001442770121</v>
      </c>
      <c r="W40" s="6">
        <f t="shared" si="96"/>
        <v>7807.327822</v>
      </c>
      <c r="X40" s="4"/>
      <c r="Y40" s="4"/>
    </row>
    <row r="41">
      <c r="A41" s="4"/>
      <c r="B41" s="1" t="s">
        <v>18</v>
      </c>
      <c r="C41" s="4">
        <f>D41/D2</f>
        <v>49034.17015</v>
      </c>
      <c r="D41" s="11">
        <f>(350000/30)*(1+0.27/60)</f>
        <v>11719.16667</v>
      </c>
      <c r="E41" s="4">
        <f t="shared" si="83"/>
        <v>490341701534</v>
      </c>
      <c r="F41" s="4">
        <f t="shared" si="84"/>
        <v>3.06047E+23</v>
      </c>
      <c r="G41" s="4">
        <f t="shared" si="85"/>
        <v>0.01362071179</v>
      </c>
      <c r="H41" s="4">
        <f t="shared" si="86"/>
        <v>0.00001171944793</v>
      </c>
      <c r="I41" s="7">
        <f t="shared" si="87"/>
        <v>-0.07300078016</v>
      </c>
      <c r="J41" s="7"/>
      <c r="K41" s="4">
        <f t="shared" si="88"/>
        <v>65.755894</v>
      </c>
      <c r="L41" s="4"/>
      <c r="M41" s="4"/>
      <c r="N41" s="4">
        <f t="shared" si="89"/>
        <v>11.71916667</v>
      </c>
      <c r="O41" s="4">
        <f t="shared" si="90"/>
        <v>0.01521969697</v>
      </c>
      <c r="P41" s="4">
        <f t="shared" si="91"/>
        <v>0.0000000007324654958</v>
      </c>
      <c r="Q41" s="8">
        <f t="shared" si="92"/>
        <v>0</v>
      </c>
      <c r="R41" s="4">
        <f t="shared" si="93"/>
        <v>0.000000001951243201</v>
      </c>
      <c r="S41" s="9">
        <f t="shared" ref="S41:S42" si="97">C41/300209.205020921</f>
        <v>0.1633333333</v>
      </c>
      <c r="T41" s="4">
        <f t="shared" si="94"/>
        <v>1</v>
      </c>
      <c r="U41" s="4">
        <f t="shared" si="95"/>
        <v>0.01171916667</v>
      </c>
      <c r="V41" s="4">
        <f t="shared" si="81"/>
        <v>0.00000000235652453</v>
      </c>
      <c r="W41" s="6">
        <f t="shared" si="96"/>
        <v>1275.196878</v>
      </c>
      <c r="X41" s="4"/>
      <c r="Y41" s="4"/>
    </row>
    <row r="42">
      <c r="A42" s="4"/>
      <c r="B42" s="1" t="s">
        <v>63</v>
      </c>
      <c r="C42" s="4">
        <f>G42/G2</f>
        <v>233998.128</v>
      </c>
      <c r="D42">
        <f>C42*0.239</f>
        <v>55925.5526</v>
      </c>
      <c r="E42" s="4">
        <f t="shared" si="83"/>
        <v>2339981280150</v>
      </c>
      <c r="F42" s="4">
        <f t="shared" si="84"/>
        <v>1.4605E+24</v>
      </c>
      <c r="G42" s="11">
        <v>0.065</v>
      </c>
      <c r="H42" s="4">
        <f t="shared" si="86"/>
        <v>0.00005592689484</v>
      </c>
      <c r="I42" s="7">
        <f t="shared" si="87"/>
        <v>0.379474922</v>
      </c>
      <c r="J42" s="7"/>
      <c r="K42" s="4">
        <f t="shared" si="88"/>
        <v>313.7966046</v>
      </c>
      <c r="L42" s="4"/>
      <c r="M42" s="4"/>
      <c r="N42" s="4">
        <f t="shared" si="89"/>
        <v>55.9255526</v>
      </c>
      <c r="O42" s="4">
        <f t="shared" si="90"/>
        <v>0.07263058779</v>
      </c>
      <c r="P42" s="4">
        <f t="shared" si="91"/>
        <v>0.000000003495430928</v>
      </c>
      <c r="Q42" s="8">
        <f t="shared" si="92"/>
        <v>0</v>
      </c>
      <c r="R42" s="4">
        <f t="shared" si="93"/>
        <v>0.000000009311613819</v>
      </c>
      <c r="S42" s="9">
        <f t="shared" si="97"/>
        <v>0.7794502104</v>
      </c>
      <c r="T42" s="4">
        <f t="shared" si="94"/>
        <v>4.772144145</v>
      </c>
      <c r="U42" s="4">
        <f t="shared" si="95"/>
        <v>0.0559255526</v>
      </c>
      <c r="V42" s="4">
        <f t="shared" si="81"/>
        <v>0.00000001124567474</v>
      </c>
      <c r="W42" s="6">
        <f t="shared" si="96"/>
        <v>6085.423313</v>
      </c>
      <c r="X42" s="4"/>
      <c r="Y42" s="4"/>
    </row>
    <row r="43">
      <c r="A43" s="4"/>
      <c r="B43" s="4"/>
      <c r="C43" s="4"/>
      <c r="E43" s="4"/>
      <c r="F43" s="4"/>
      <c r="G43" s="4"/>
      <c r="H43" s="4"/>
      <c r="I43" s="7"/>
      <c r="J43" s="7"/>
      <c r="K43" s="4"/>
      <c r="L43" s="4"/>
      <c r="M43" s="4"/>
      <c r="N43" s="4"/>
      <c r="O43" s="4"/>
      <c r="P43" s="4"/>
      <c r="Q43" s="4"/>
      <c r="R43" s="4"/>
      <c r="S43" s="9"/>
      <c r="T43" s="4"/>
      <c r="U43" s="4"/>
      <c r="V43" s="4"/>
      <c r="X43" s="4"/>
      <c r="Y43" s="4"/>
    </row>
    <row r="44">
      <c r="A44" s="10" t="s">
        <v>64</v>
      </c>
      <c r="B44" s="1" t="s">
        <v>65</v>
      </c>
      <c r="C44" s="4"/>
      <c r="E44" s="4"/>
      <c r="F44" s="4"/>
      <c r="G44" s="4"/>
      <c r="H44" s="11">
        <v>81000.0</v>
      </c>
      <c r="I44" s="7"/>
      <c r="J44" s="7"/>
      <c r="K44" s="4"/>
      <c r="L44" s="4"/>
      <c r="M44" s="4"/>
      <c r="N44" s="4"/>
      <c r="O44" s="4"/>
      <c r="P44" s="4"/>
      <c r="Q44" s="4"/>
      <c r="R44" s="4"/>
      <c r="S44" s="9"/>
      <c r="T44" s="4"/>
      <c r="U44" s="4"/>
      <c r="V44" s="4"/>
      <c r="X44" s="4"/>
      <c r="Y44" s="4"/>
    </row>
    <row r="45">
      <c r="A45" s="4"/>
      <c r="B45" s="6" t="s">
        <v>66</v>
      </c>
      <c r="C45" s="4">
        <f>F45/(6.24150974*10^18)</f>
        <v>38.45223512</v>
      </c>
      <c r="D45">
        <f>C45*0.239</f>
        <v>9.190084193</v>
      </c>
      <c r="E45" s="4">
        <f>C45*10^7</f>
        <v>384522351.2</v>
      </c>
      <c r="F45" s="1">
        <f>240*10^18</f>
        <v>2.4E+20</v>
      </c>
      <c r="G45" s="4"/>
      <c r="H45" s="4"/>
      <c r="I45" s="7"/>
      <c r="J45" s="7"/>
      <c r="K45" s="4"/>
      <c r="L45" s="4"/>
      <c r="M45" s="4"/>
      <c r="N45" s="4"/>
      <c r="O45" s="4"/>
      <c r="P45" s="4"/>
      <c r="Q45" s="4"/>
      <c r="R45" s="4"/>
      <c r="S45" s="9"/>
      <c r="T45" s="4"/>
      <c r="U45" s="4"/>
      <c r="V45" s="4"/>
      <c r="W45" s="6">
        <f>C45/38.4522351157943</f>
        <v>1</v>
      </c>
      <c r="X45" s="4"/>
      <c r="Y45" s="4"/>
    </row>
    <row r="46">
      <c r="A46" s="4"/>
      <c r="B46" s="4"/>
      <c r="C46" s="4"/>
      <c r="D46" s="4"/>
      <c r="E46" s="4"/>
      <c r="F46" s="4"/>
      <c r="G46" s="4"/>
      <c r="H46" s="4"/>
      <c r="I46" s="2"/>
      <c r="J46" s="2"/>
      <c r="K46" s="4"/>
      <c r="L46" s="4"/>
      <c r="M46" s="4"/>
      <c r="N46" s="4"/>
      <c r="O46" s="4"/>
      <c r="P46" s="4"/>
      <c r="Q46" s="4"/>
      <c r="R46" s="4"/>
      <c r="S46" s="9"/>
      <c r="T46" s="4"/>
      <c r="U46" s="4"/>
      <c r="V46" s="4"/>
      <c r="X46" s="4"/>
      <c r="Y46" s="4"/>
    </row>
    <row r="47">
      <c r="A47" s="4"/>
      <c r="B47" s="4"/>
      <c r="C47" s="23"/>
      <c r="E47" s="4"/>
      <c r="F47" s="4"/>
      <c r="G47" s="4"/>
      <c r="H47" s="4"/>
      <c r="I47" s="2"/>
      <c r="J47" s="2"/>
      <c r="K47" s="4"/>
      <c r="L47" s="4"/>
      <c r="M47" s="4"/>
      <c r="N47" s="4"/>
      <c r="O47" s="4"/>
      <c r="P47" s="4"/>
      <c r="Q47" s="4"/>
      <c r="R47" s="4"/>
      <c r="S47" s="9"/>
      <c r="T47" s="4"/>
      <c r="U47" s="4"/>
      <c r="V47" s="4"/>
      <c r="X47" s="4"/>
      <c r="Y47" s="4"/>
    </row>
    <row r="48">
      <c r="A48" s="4"/>
      <c r="B48" s="4"/>
      <c r="C48" s="4"/>
      <c r="D48" s="4"/>
      <c r="E48" s="4"/>
      <c r="F48" s="4"/>
      <c r="G48" s="4"/>
      <c r="H48" s="4"/>
      <c r="I48" s="2"/>
      <c r="J48" s="2"/>
      <c r="K48" s="4"/>
      <c r="L48" s="4"/>
      <c r="M48" s="4"/>
      <c r="N48" s="4"/>
      <c r="O48" s="4"/>
      <c r="P48" s="4"/>
      <c r="Q48" s="4"/>
      <c r="R48" s="4"/>
      <c r="S48" s="9"/>
      <c r="T48" s="4"/>
      <c r="U48" s="4"/>
      <c r="V48" s="4"/>
      <c r="X48" s="4"/>
      <c r="Y48" s="4"/>
    </row>
    <row r="49">
      <c r="A49" s="4"/>
      <c r="B49" s="4"/>
      <c r="C49" s="4"/>
      <c r="D49" s="4"/>
      <c r="E49" s="4"/>
      <c r="F49" s="4"/>
      <c r="G49" s="4"/>
      <c r="H49" s="4"/>
      <c r="I49" s="7"/>
      <c r="J49" s="7"/>
      <c r="K49" s="4"/>
      <c r="L49" s="4"/>
      <c r="M49" s="4"/>
      <c r="N49" s="4"/>
      <c r="O49" s="4"/>
      <c r="P49" s="4"/>
      <c r="Q49" s="4"/>
      <c r="R49" s="4"/>
      <c r="S49" s="9"/>
      <c r="T49" s="4"/>
      <c r="U49" s="4"/>
      <c r="V49" s="4"/>
      <c r="X49" s="4"/>
      <c r="Y49" s="4"/>
    </row>
    <row r="50">
      <c r="A50" s="4"/>
      <c r="B50" s="4"/>
      <c r="C50" s="4"/>
      <c r="D50" s="4"/>
      <c r="E50" s="4"/>
      <c r="F50" s="4"/>
      <c r="G50" s="4"/>
      <c r="H50" s="4"/>
      <c r="I50" s="7"/>
      <c r="J50" s="7"/>
      <c r="K50" s="4"/>
      <c r="L50" s="4"/>
      <c r="M50" s="4"/>
      <c r="N50" s="4"/>
      <c r="O50" s="4"/>
      <c r="P50" s="4"/>
      <c r="Q50" s="4"/>
      <c r="R50" s="4"/>
      <c r="S50" s="9"/>
      <c r="T50" s="4"/>
      <c r="U50" s="4"/>
      <c r="V50" s="4"/>
      <c r="X50" s="4"/>
      <c r="Y50" s="4"/>
    </row>
    <row r="51">
      <c r="A51" s="4"/>
      <c r="B51" s="4"/>
      <c r="C51" s="4"/>
      <c r="D51" s="4"/>
      <c r="E51" s="4"/>
      <c r="F51" s="4"/>
      <c r="G51" s="4"/>
      <c r="H51" s="4"/>
      <c r="I51" s="7"/>
      <c r="J51" s="7"/>
      <c r="K51" s="4"/>
      <c r="L51" s="4"/>
      <c r="M51" s="4"/>
      <c r="N51" s="4"/>
      <c r="O51" s="4"/>
      <c r="P51" s="4"/>
      <c r="Q51" s="4"/>
      <c r="R51" s="4"/>
      <c r="S51" s="9"/>
      <c r="T51" s="4"/>
      <c r="U51" s="4"/>
      <c r="V51" s="4"/>
      <c r="X51" s="4"/>
      <c r="Y51" s="4"/>
    </row>
    <row r="52">
      <c r="A52" s="4"/>
      <c r="B52" s="4"/>
      <c r="C52" s="4"/>
      <c r="D52" s="4"/>
      <c r="E52" s="4"/>
      <c r="F52" s="4"/>
      <c r="G52" s="4"/>
      <c r="H52" s="4"/>
      <c r="I52" s="7"/>
      <c r="J52" s="7"/>
      <c r="K52" s="4"/>
      <c r="L52" s="4"/>
      <c r="M52" s="4"/>
      <c r="N52" s="4"/>
      <c r="O52" s="4"/>
      <c r="P52" s="4"/>
      <c r="Q52" s="4"/>
      <c r="R52" s="4"/>
      <c r="S52" s="9"/>
      <c r="T52" s="4"/>
      <c r="U52" s="4"/>
      <c r="V52" s="4"/>
      <c r="X52" s="4"/>
      <c r="Y52" s="4"/>
    </row>
    <row r="53">
      <c r="A53" s="4"/>
      <c r="B53" s="4"/>
      <c r="C53" s="4"/>
      <c r="D53" s="4"/>
      <c r="E53" s="4"/>
      <c r="F53" s="4"/>
      <c r="G53" s="4"/>
      <c r="H53" s="4"/>
      <c r="I53" s="7"/>
      <c r="J53" s="7"/>
      <c r="K53" s="4"/>
      <c r="L53" s="4"/>
      <c r="M53" s="4"/>
      <c r="N53" s="4"/>
      <c r="O53" s="4"/>
      <c r="P53" s="4"/>
      <c r="Q53" s="4"/>
      <c r="R53" s="4"/>
      <c r="S53" s="9"/>
      <c r="T53" s="4"/>
      <c r="U53" s="4"/>
      <c r="V53" s="4"/>
      <c r="X53" s="4"/>
      <c r="Y53" s="4"/>
    </row>
    <row r="54">
      <c r="A54" s="4"/>
      <c r="B54" s="4"/>
      <c r="C54" s="4"/>
      <c r="D54" s="4"/>
      <c r="E54" s="4"/>
      <c r="F54" s="4"/>
      <c r="G54" s="4"/>
      <c r="H54" s="4"/>
      <c r="I54" s="7"/>
      <c r="J54" s="7"/>
      <c r="K54" s="4"/>
      <c r="L54" s="4"/>
      <c r="M54" s="4"/>
      <c r="N54" s="4"/>
      <c r="O54" s="4"/>
      <c r="P54" s="4"/>
      <c r="Q54" s="4"/>
      <c r="R54" s="4"/>
      <c r="S54" s="9"/>
      <c r="T54" s="4"/>
      <c r="U54" s="4"/>
      <c r="V54" s="4"/>
      <c r="X54" s="4"/>
      <c r="Y54" s="4"/>
    </row>
    <row r="55">
      <c r="A55" s="4"/>
      <c r="B55" s="4"/>
      <c r="C55" s="4"/>
      <c r="D55" s="4"/>
      <c r="E55" s="4"/>
      <c r="F55" s="4"/>
      <c r="G55" s="4"/>
      <c r="H55" s="4"/>
      <c r="I55" s="7"/>
      <c r="J55" s="7"/>
      <c r="K55" s="4"/>
      <c r="L55" s="4"/>
      <c r="M55" s="4"/>
      <c r="N55" s="4"/>
      <c r="O55" s="4"/>
      <c r="P55" s="4"/>
      <c r="Q55" s="4"/>
      <c r="R55" s="4"/>
      <c r="S55" s="9"/>
      <c r="T55" s="4"/>
      <c r="U55" s="4"/>
      <c r="V55" s="4"/>
      <c r="X55" s="4"/>
      <c r="Y55" s="4"/>
    </row>
    <row r="56">
      <c r="A56" s="4"/>
      <c r="B56" s="4"/>
      <c r="C56" s="4"/>
      <c r="D56" s="4"/>
      <c r="E56" s="4"/>
      <c r="F56" s="4"/>
      <c r="G56" s="4"/>
      <c r="H56" s="4"/>
      <c r="I56" s="7"/>
      <c r="J56" s="7"/>
      <c r="K56" s="4"/>
      <c r="L56" s="4"/>
      <c r="M56" s="4"/>
      <c r="N56" s="4"/>
      <c r="O56" s="4"/>
      <c r="P56" s="4"/>
      <c r="Q56" s="4"/>
      <c r="R56" s="4"/>
      <c r="S56" s="9"/>
      <c r="T56" s="4"/>
      <c r="U56" s="4"/>
      <c r="V56" s="4"/>
      <c r="X56" s="4"/>
      <c r="Y56" s="4"/>
    </row>
    <row r="57">
      <c r="A57" s="4"/>
      <c r="B57" s="4"/>
      <c r="C57" s="4"/>
      <c r="D57" s="4"/>
      <c r="E57" s="4"/>
      <c r="F57" s="4"/>
      <c r="G57" s="4"/>
      <c r="H57" s="4"/>
      <c r="I57" s="7"/>
      <c r="J57" s="7"/>
      <c r="K57" s="4"/>
      <c r="L57" s="4"/>
      <c r="M57" s="4"/>
      <c r="N57" s="4"/>
      <c r="O57" s="4"/>
      <c r="P57" s="4"/>
      <c r="Q57" s="4"/>
      <c r="R57" s="4"/>
      <c r="S57" s="9"/>
      <c r="T57" s="4"/>
      <c r="U57" s="4"/>
      <c r="V57" s="4"/>
      <c r="X57" s="4"/>
      <c r="Y57" s="4"/>
    </row>
    <row r="58">
      <c r="A58" s="4"/>
      <c r="B58" s="4"/>
      <c r="C58" s="4"/>
      <c r="D58" s="4"/>
      <c r="E58" s="4"/>
      <c r="F58" s="4"/>
      <c r="G58" s="4"/>
      <c r="H58" s="4"/>
      <c r="I58" s="7"/>
      <c r="J58" s="7"/>
      <c r="K58" s="4"/>
      <c r="L58" s="4"/>
      <c r="M58" s="4"/>
      <c r="N58" s="4"/>
      <c r="O58" s="4"/>
      <c r="P58" s="4"/>
      <c r="Q58" s="4"/>
      <c r="R58" s="4"/>
      <c r="S58" s="9"/>
      <c r="T58" s="4"/>
      <c r="U58" s="4"/>
      <c r="V58" s="4"/>
      <c r="X58" s="4"/>
      <c r="Y58" s="4"/>
    </row>
    <row r="59">
      <c r="A59" s="4"/>
      <c r="B59" s="4"/>
      <c r="C59" s="4"/>
      <c r="D59" s="4"/>
      <c r="E59" s="4"/>
      <c r="F59" s="4"/>
      <c r="G59" s="4"/>
      <c r="H59" s="4"/>
      <c r="I59" s="7"/>
      <c r="J59" s="7"/>
      <c r="K59" s="4"/>
      <c r="L59" s="4"/>
      <c r="M59" s="4"/>
      <c r="N59" s="4"/>
      <c r="O59" s="4"/>
      <c r="P59" s="4"/>
      <c r="Q59" s="4"/>
      <c r="R59" s="4"/>
      <c r="S59" s="9"/>
      <c r="T59" s="4"/>
      <c r="U59" s="4"/>
      <c r="V59" s="4"/>
      <c r="X59" s="4"/>
      <c r="Y59" s="4"/>
    </row>
    <row r="60">
      <c r="A60" s="4"/>
      <c r="B60" s="4"/>
      <c r="C60" s="4"/>
      <c r="D60" s="4"/>
      <c r="E60" s="4"/>
      <c r="F60" s="4"/>
      <c r="G60" s="4"/>
      <c r="H60" s="4"/>
      <c r="I60" s="7"/>
      <c r="J60" s="7"/>
      <c r="K60" s="4"/>
      <c r="L60" s="4"/>
      <c r="M60" s="4"/>
      <c r="N60" s="4"/>
      <c r="O60" s="4"/>
      <c r="P60" s="4"/>
      <c r="Q60" s="4"/>
      <c r="R60" s="4"/>
      <c r="S60" s="9"/>
      <c r="T60" s="4"/>
      <c r="U60" s="4"/>
      <c r="V60" s="4"/>
      <c r="X60" s="4"/>
      <c r="Y60" s="4"/>
    </row>
    <row r="61">
      <c r="A61" s="4"/>
      <c r="B61" s="4"/>
      <c r="C61" s="4"/>
      <c r="D61" s="4"/>
      <c r="E61" s="4"/>
      <c r="F61" s="4"/>
      <c r="G61" s="4"/>
      <c r="H61" s="4"/>
      <c r="I61" s="7"/>
      <c r="J61" s="7"/>
      <c r="K61" s="4"/>
      <c r="L61" s="4"/>
      <c r="M61" s="4"/>
      <c r="N61" s="4"/>
      <c r="O61" s="4"/>
      <c r="P61" s="4"/>
      <c r="Q61" s="4"/>
      <c r="R61" s="4"/>
      <c r="S61" s="9"/>
      <c r="T61" s="4"/>
      <c r="U61" s="4"/>
      <c r="V61" s="4"/>
      <c r="X61" s="4"/>
      <c r="Y61" s="4"/>
    </row>
    <row r="62">
      <c r="A62" s="4"/>
      <c r="B62" s="4"/>
      <c r="C62" s="4"/>
      <c r="D62" s="4"/>
      <c r="E62" s="4"/>
      <c r="F62" s="4"/>
      <c r="G62" s="4"/>
      <c r="H62" s="4"/>
      <c r="I62" s="7"/>
      <c r="J62" s="7"/>
      <c r="K62" s="4"/>
      <c r="L62" s="4"/>
      <c r="M62" s="4"/>
      <c r="N62" s="4"/>
      <c r="O62" s="4"/>
      <c r="P62" s="4"/>
      <c r="Q62" s="4"/>
      <c r="R62" s="4"/>
      <c r="S62" s="9"/>
      <c r="T62" s="4"/>
      <c r="U62" s="4"/>
      <c r="V62" s="4"/>
      <c r="X62" s="4"/>
      <c r="Y62" s="4"/>
    </row>
    <row r="63">
      <c r="A63" s="4"/>
      <c r="B63" s="4"/>
      <c r="C63" s="4"/>
      <c r="D63" s="4"/>
      <c r="E63" s="4"/>
      <c r="F63" s="4"/>
      <c r="G63" s="4"/>
      <c r="H63" s="4"/>
      <c r="I63" s="7"/>
      <c r="J63" s="7"/>
      <c r="K63" s="4"/>
      <c r="L63" s="4"/>
      <c r="M63" s="4"/>
      <c r="N63" s="4"/>
      <c r="O63" s="4"/>
      <c r="P63" s="4"/>
      <c r="Q63" s="4"/>
      <c r="R63" s="4"/>
      <c r="S63" s="9"/>
      <c r="T63" s="4"/>
      <c r="U63" s="4"/>
      <c r="V63" s="4"/>
      <c r="X63" s="4"/>
      <c r="Y63" s="4"/>
    </row>
    <row r="64">
      <c r="A64" s="4"/>
      <c r="B64" s="4"/>
      <c r="C64" s="4"/>
      <c r="D64" s="4"/>
      <c r="E64" s="4"/>
      <c r="F64" s="4"/>
      <c r="G64" s="4"/>
      <c r="H64" s="4"/>
      <c r="I64" s="7"/>
      <c r="J64" s="7"/>
      <c r="K64" s="4"/>
      <c r="L64" s="4"/>
      <c r="M64" s="4"/>
      <c r="N64" s="4"/>
      <c r="O64" s="4"/>
      <c r="P64" s="4"/>
      <c r="Q64" s="4"/>
      <c r="R64" s="4"/>
      <c r="S64" s="9"/>
      <c r="T64" s="4"/>
      <c r="U64" s="4"/>
      <c r="V64" s="4"/>
      <c r="X64" s="4"/>
      <c r="Y64" s="4"/>
    </row>
    <row r="65">
      <c r="A65" s="4"/>
      <c r="B65" s="4"/>
      <c r="C65" s="4"/>
      <c r="D65" s="4"/>
      <c r="E65" s="4"/>
      <c r="F65" s="4"/>
      <c r="G65" s="4"/>
      <c r="H65" s="4"/>
      <c r="I65" s="7"/>
      <c r="J65" s="7"/>
      <c r="K65" s="4"/>
      <c r="L65" s="4"/>
      <c r="M65" s="4"/>
      <c r="N65" s="4"/>
      <c r="O65" s="4"/>
      <c r="P65" s="4"/>
      <c r="Q65" s="4"/>
      <c r="R65" s="4"/>
      <c r="S65" s="9"/>
      <c r="T65" s="4"/>
      <c r="U65" s="4"/>
      <c r="V65" s="4"/>
      <c r="X65" s="4"/>
      <c r="Y65" s="4"/>
    </row>
    <row r="66">
      <c r="A66" s="4"/>
      <c r="B66" s="4"/>
      <c r="C66" s="4"/>
      <c r="D66" s="4"/>
      <c r="E66" s="4"/>
      <c r="F66" s="4"/>
      <c r="G66" s="4"/>
      <c r="H66" s="4"/>
      <c r="I66" s="7"/>
      <c r="J66" s="7"/>
      <c r="K66" s="4"/>
      <c r="L66" s="4"/>
      <c r="M66" s="4"/>
      <c r="N66" s="4"/>
      <c r="O66" s="4"/>
      <c r="P66" s="4"/>
      <c r="Q66" s="4"/>
      <c r="R66" s="4"/>
      <c r="S66" s="9"/>
      <c r="T66" s="4"/>
      <c r="U66" s="4"/>
      <c r="V66" s="4"/>
      <c r="X66" s="4"/>
      <c r="Y66" s="4"/>
    </row>
    <row r="67">
      <c r="A67" s="4"/>
      <c r="B67" s="4"/>
      <c r="C67" s="4"/>
      <c r="D67" s="4"/>
      <c r="E67" s="4"/>
      <c r="F67" s="4"/>
      <c r="G67" s="4"/>
      <c r="H67" s="4"/>
      <c r="I67" s="7"/>
      <c r="J67" s="7"/>
      <c r="K67" s="4"/>
      <c r="L67" s="4"/>
      <c r="M67" s="4"/>
      <c r="N67" s="4"/>
      <c r="O67" s="4"/>
      <c r="P67" s="4"/>
      <c r="Q67" s="4"/>
      <c r="R67" s="4"/>
      <c r="S67" s="9"/>
      <c r="T67" s="4"/>
      <c r="U67" s="4"/>
      <c r="V67" s="4"/>
      <c r="X67" s="4"/>
      <c r="Y67" s="4"/>
    </row>
    <row r="68">
      <c r="A68" s="4"/>
      <c r="B68" s="4"/>
      <c r="C68" s="4"/>
      <c r="D68" s="4"/>
      <c r="E68" s="4"/>
      <c r="F68" s="4"/>
      <c r="G68" s="4"/>
      <c r="H68" s="4"/>
      <c r="I68" s="7"/>
      <c r="J68" s="7"/>
      <c r="K68" s="4"/>
      <c r="L68" s="4"/>
      <c r="M68" s="4"/>
      <c r="N68" s="4"/>
      <c r="O68" s="4"/>
      <c r="P68" s="4"/>
      <c r="Q68" s="4"/>
      <c r="R68" s="4"/>
      <c r="S68" s="9"/>
      <c r="T68" s="4"/>
      <c r="U68" s="4"/>
      <c r="V68" s="4"/>
      <c r="X68" s="4"/>
      <c r="Y68" s="4"/>
    </row>
    <row r="69">
      <c r="A69" s="4"/>
      <c r="B69" s="4"/>
      <c r="C69" s="4"/>
      <c r="D69" s="4"/>
      <c r="E69" s="4"/>
      <c r="F69" s="4"/>
      <c r="G69" s="4"/>
      <c r="H69" s="4"/>
      <c r="I69" s="7"/>
      <c r="J69" s="7"/>
      <c r="K69" s="4"/>
      <c r="L69" s="4"/>
      <c r="M69" s="4"/>
      <c r="N69" s="4"/>
      <c r="O69" s="4"/>
      <c r="P69" s="4"/>
      <c r="Q69" s="4"/>
      <c r="R69" s="4"/>
      <c r="S69" s="9"/>
      <c r="T69" s="4"/>
      <c r="U69" s="4"/>
      <c r="V69" s="4"/>
      <c r="X69" s="4"/>
      <c r="Y69" s="4"/>
    </row>
    <row r="70">
      <c r="A70" s="4"/>
      <c r="B70" s="4"/>
      <c r="C70" s="4"/>
      <c r="D70" s="4"/>
      <c r="E70" s="4"/>
      <c r="F70" s="4"/>
      <c r="G70" s="4"/>
      <c r="H70" s="4"/>
      <c r="I70" s="7"/>
      <c r="J70" s="7"/>
      <c r="K70" s="4"/>
      <c r="L70" s="4"/>
      <c r="M70" s="4"/>
      <c r="N70" s="4"/>
      <c r="O70" s="4"/>
      <c r="P70" s="4"/>
      <c r="Q70" s="4"/>
      <c r="R70" s="4"/>
      <c r="S70" s="9"/>
      <c r="T70" s="4"/>
      <c r="U70" s="4"/>
      <c r="V70" s="4"/>
      <c r="X70" s="4"/>
      <c r="Y70" s="4"/>
    </row>
    <row r="71">
      <c r="A71" s="4"/>
      <c r="B71" s="4"/>
      <c r="C71" s="4"/>
      <c r="D71" s="4"/>
      <c r="E71" s="4"/>
      <c r="F71" s="4"/>
      <c r="G71" s="4"/>
      <c r="H71" s="4"/>
      <c r="I71" s="7"/>
      <c r="J71" s="7"/>
      <c r="K71" s="4"/>
      <c r="L71" s="4"/>
      <c r="M71" s="4"/>
      <c r="N71" s="4"/>
      <c r="O71" s="4"/>
      <c r="P71" s="4"/>
      <c r="Q71" s="4"/>
      <c r="R71" s="4"/>
      <c r="S71" s="9"/>
      <c r="T71" s="4"/>
      <c r="U71" s="4"/>
      <c r="V71" s="4"/>
      <c r="X71" s="4"/>
      <c r="Y71" s="4"/>
    </row>
    <row r="72">
      <c r="A72" s="4"/>
      <c r="B72" s="4"/>
      <c r="C72" s="4"/>
      <c r="D72" s="4"/>
      <c r="E72" s="4"/>
      <c r="F72" s="4"/>
      <c r="G72" s="4"/>
      <c r="H72" s="4"/>
      <c r="I72" s="7"/>
      <c r="J72" s="7"/>
      <c r="K72" s="4"/>
      <c r="L72" s="4"/>
      <c r="M72" s="4"/>
      <c r="N72" s="4"/>
      <c r="O72" s="4"/>
      <c r="P72" s="4"/>
      <c r="Q72" s="4"/>
      <c r="R72" s="4"/>
      <c r="S72" s="9"/>
      <c r="T72" s="4"/>
      <c r="U72" s="4"/>
      <c r="V72" s="4"/>
      <c r="X72" s="4"/>
      <c r="Y72" s="4"/>
    </row>
    <row r="73">
      <c r="A73" s="4"/>
      <c r="B73" s="4"/>
      <c r="C73" s="4"/>
      <c r="D73" s="4"/>
      <c r="E73" s="4"/>
      <c r="F73" s="4"/>
      <c r="G73" s="4"/>
      <c r="H73" s="4"/>
      <c r="I73" s="7"/>
      <c r="J73" s="7"/>
      <c r="K73" s="4"/>
      <c r="L73" s="4"/>
      <c r="M73" s="4"/>
      <c r="N73" s="4"/>
      <c r="O73" s="4"/>
      <c r="P73" s="4"/>
      <c r="Q73" s="4"/>
      <c r="R73" s="4"/>
      <c r="S73" s="9"/>
      <c r="T73" s="4"/>
      <c r="U73" s="4"/>
      <c r="V73" s="4"/>
      <c r="X73" s="4"/>
      <c r="Y73" s="4"/>
    </row>
    <row r="74">
      <c r="A74" s="4"/>
      <c r="B74" s="4"/>
      <c r="C74" s="4"/>
      <c r="D74" s="4"/>
      <c r="E74" s="4"/>
      <c r="F74" s="4"/>
      <c r="G74" s="4"/>
      <c r="H74" s="4"/>
      <c r="I74" s="7"/>
      <c r="J74" s="7"/>
      <c r="K74" s="4"/>
      <c r="L74" s="4"/>
      <c r="M74" s="4"/>
      <c r="N74" s="4"/>
      <c r="O74" s="4"/>
      <c r="P74" s="4"/>
      <c r="Q74" s="4"/>
      <c r="R74" s="4"/>
      <c r="S74" s="9"/>
      <c r="T74" s="4"/>
      <c r="U74" s="4"/>
      <c r="V74" s="4"/>
      <c r="X74" s="4"/>
      <c r="Y74" s="4"/>
    </row>
    <row r="75">
      <c r="A75" s="4"/>
      <c r="B75" s="4"/>
      <c r="C75" s="4"/>
      <c r="D75" s="4"/>
      <c r="E75" s="4"/>
      <c r="F75" s="4"/>
      <c r="G75" s="4"/>
      <c r="H75" s="4"/>
      <c r="I75" s="7"/>
      <c r="J75" s="7"/>
      <c r="K75" s="4"/>
      <c r="L75" s="4"/>
      <c r="M75" s="4"/>
      <c r="N75" s="4"/>
      <c r="O75" s="4"/>
      <c r="P75" s="4"/>
      <c r="Q75" s="4"/>
      <c r="R75" s="4"/>
      <c r="S75" s="9"/>
      <c r="T75" s="4"/>
      <c r="U75" s="4"/>
      <c r="V75" s="4"/>
      <c r="X75" s="4"/>
      <c r="Y75" s="4"/>
    </row>
    <row r="76">
      <c r="A76" s="4"/>
      <c r="B76" s="4"/>
      <c r="C76" s="4"/>
      <c r="D76" s="4"/>
      <c r="E76" s="4"/>
      <c r="F76" s="4"/>
      <c r="G76" s="4"/>
      <c r="H76" s="4"/>
      <c r="I76" s="7"/>
      <c r="J76" s="7"/>
      <c r="K76" s="4"/>
      <c r="L76" s="4"/>
      <c r="M76" s="4"/>
      <c r="N76" s="4"/>
      <c r="O76" s="4"/>
      <c r="P76" s="4"/>
      <c r="Q76" s="4"/>
      <c r="R76" s="4"/>
      <c r="S76" s="9"/>
      <c r="T76" s="4"/>
      <c r="U76" s="4"/>
      <c r="V76" s="4"/>
      <c r="X76" s="4"/>
      <c r="Y76" s="4"/>
    </row>
    <row r="77">
      <c r="A77" s="4"/>
      <c r="B77" s="4"/>
      <c r="C77" s="4"/>
      <c r="D77" s="4"/>
      <c r="E77" s="4"/>
      <c r="F77" s="4"/>
      <c r="G77" s="4"/>
      <c r="H77" s="4"/>
      <c r="I77" s="7"/>
      <c r="J77" s="7"/>
      <c r="K77" s="4"/>
      <c r="L77" s="4"/>
      <c r="M77" s="4"/>
      <c r="N77" s="4"/>
      <c r="O77" s="4"/>
      <c r="P77" s="4"/>
      <c r="Q77" s="4"/>
      <c r="R77" s="4"/>
      <c r="S77" s="9"/>
      <c r="T77" s="4"/>
      <c r="U77" s="4"/>
      <c r="V77" s="4"/>
      <c r="X77" s="4"/>
      <c r="Y77" s="4"/>
    </row>
    <row r="78">
      <c r="A78" s="4"/>
      <c r="B78" s="4"/>
      <c r="C78" s="4"/>
      <c r="D78" s="4"/>
      <c r="E78" s="4"/>
      <c r="F78" s="4"/>
      <c r="G78" s="4"/>
      <c r="H78" s="4"/>
      <c r="I78" s="7"/>
      <c r="J78" s="7"/>
      <c r="K78" s="4"/>
      <c r="L78" s="4"/>
      <c r="M78" s="4"/>
      <c r="N78" s="4"/>
      <c r="O78" s="4"/>
      <c r="P78" s="4"/>
      <c r="Q78" s="4"/>
      <c r="R78" s="4"/>
      <c r="S78" s="9"/>
      <c r="T78" s="4"/>
      <c r="U78" s="4"/>
      <c r="V78" s="4"/>
      <c r="X78" s="4"/>
      <c r="Y78" s="4"/>
    </row>
    <row r="79">
      <c r="A79" s="4"/>
      <c r="B79" s="4"/>
      <c r="C79" s="4"/>
      <c r="D79" s="4"/>
      <c r="E79" s="4"/>
      <c r="F79" s="4"/>
      <c r="G79" s="4"/>
      <c r="H79" s="4"/>
      <c r="I79" s="7"/>
      <c r="J79" s="7"/>
      <c r="K79" s="4"/>
      <c r="L79" s="4"/>
      <c r="M79" s="4"/>
      <c r="N79" s="4"/>
      <c r="O79" s="4"/>
      <c r="P79" s="4"/>
      <c r="Q79" s="4"/>
      <c r="R79" s="4"/>
      <c r="S79" s="9"/>
      <c r="T79" s="4"/>
      <c r="U79" s="4"/>
      <c r="V79" s="4"/>
      <c r="X79" s="4"/>
      <c r="Y79" s="4"/>
    </row>
    <row r="80">
      <c r="A80" s="4"/>
      <c r="B80" s="4"/>
      <c r="C80" s="4"/>
      <c r="D80" s="4"/>
      <c r="E80" s="4"/>
      <c r="F80" s="4"/>
      <c r="G80" s="4"/>
      <c r="H80" s="4"/>
      <c r="I80" s="7"/>
      <c r="J80" s="7"/>
      <c r="K80" s="4"/>
      <c r="L80" s="4"/>
      <c r="M80" s="4"/>
      <c r="N80" s="4"/>
      <c r="O80" s="4"/>
      <c r="P80" s="4"/>
      <c r="Q80" s="4"/>
      <c r="R80" s="4"/>
      <c r="S80" s="9"/>
      <c r="T80" s="4"/>
      <c r="U80" s="4"/>
      <c r="V80" s="4"/>
      <c r="X80" s="4"/>
      <c r="Y80" s="4"/>
    </row>
    <row r="81">
      <c r="A81" s="4"/>
      <c r="B81" s="4"/>
      <c r="C81" s="4"/>
      <c r="D81" s="4"/>
      <c r="E81" s="4"/>
      <c r="F81" s="4"/>
      <c r="G81" s="4"/>
      <c r="H81" s="4"/>
      <c r="I81" s="7"/>
      <c r="J81" s="7"/>
      <c r="K81" s="4"/>
      <c r="L81" s="4"/>
      <c r="M81" s="4"/>
      <c r="N81" s="4"/>
      <c r="O81" s="4"/>
      <c r="P81" s="4"/>
      <c r="Q81" s="4"/>
      <c r="R81" s="4"/>
      <c r="S81" s="9"/>
      <c r="T81" s="4"/>
      <c r="U81" s="4"/>
      <c r="V81" s="4"/>
      <c r="X81" s="4"/>
      <c r="Y81" s="4"/>
    </row>
    <row r="82">
      <c r="A82" s="4"/>
      <c r="B82" s="4"/>
      <c r="C82" s="4"/>
      <c r="D82" s="4"/>
      <c r="E82" s="4"/>
      <c r="F82" s="4"/>
      <c r="G82" s="4"/>
      <c r="H82" s="4"/>
      <c r="I82" s="7"/>
      <c r="J82" s="7"/>
      <c r="K82" s="4"/>
      <c r="L82" s="4"/>
      <c r="M82" s="4"/>
      <c r="N82" s="4"/>
      <c r="O82" s="4"/>
      <c r="P82" s="4"/>
      <c r="Q82" s="4"/>
      <c r="R82" s="4"/>
      <c r="S82" s="9"/>
      <c r="T82" s="4"/>
      <c r="U82" s="4"/>
      <c r="V82" s="4"/>
      <c r="X82" s="4"/>
      <c r="Y82" s="4"/>
    </row>
    <row r="83">
      <c r="A83" s="4"/>
      <c r="B83" s="4"/>
      <c r="C83" s="4"/>
      <c r="D83" s="4"/>
      <c r="E83" s="4"/>
      <c r="F83" s="4"/>
      <c r="G83" s="4"/>
      <c r="H83" s="4"/>
      <c r="I83" s="7"/>
      <c r="J83" s="7"/>
      <c r="K83" s="4"/>
      <c r="L83" s="4"/>
      <c r="M83" s="4"/>
      <c r="N83" s="4"/>
      <c r="O83" s="4"/>
      <c r="P83" s="4"/>
      <c r="Q83" s="4"/>
      <c r="R83" s="4"/>
      <c r="S83" s="9"/>
      <c r="T83" s="4"/>
      <c r="U83" s="4"/>
      <c r="V83" s="4"/>
      <c r="X83" s="4"/>
      <c r="Y83" s="4"/>
    </row>
    <row r="84">
      <c r="A84" s="4"/>
      <c r="B84" s="4"/>
      <c r="C84" s="4"/>
      <c r="D84" s="4"/>
      <c r="E84" s="4"/>
      <c r="F84" s="4"/>
      <c r="G84" s="4"/>
      <c r="H84" s="4"/>
      <c r="I84" s="7"/>
      <c r="J84" s="7"/>
      <c r="K84" s="4"/>
      <c r="L84" s="4"/>
      <c r="M84" s="4"/>
      <c r="N84" s="4"/>
      <c r="O84" s="4"/>
      <c r="P84" s="4"/>
      <c r="Q84" s="4"/>
      <c r="R84" s="4"/>
      <c r="S84" s="9"/>
      <c r="T84" s="4"/>
      <c r="U84" s="4"/>
      <c r="V84" s="4"/>
      <c r="X84" s="4"/>
      <c r="Y84" s="4"/>
    </row>
    <row r="85">
      <c r="A85" s="4"/>
      <c r="B85" s="4"/>
      <c r="C85" s="4"/>
      <c r="D85" s="4"/>
      <c r="E85" s="4"/>
      <c r="F85" s="4"/>
      <c r="G85" s="4"/>
      <c r="H85" s="4"/>
      <c r="I85" s="7"/>
      <c r="J85" s="7"/>
      <c r="K85" s="4"/>
      <c r="L85" s="4"/>
      <c r="M85" s="4"/>
      <c r="N85" s="4"/>
      <c r="O85" s="4"/>
      <c r="P85" s="4"/>
      <c r="Q85" s="4"/>
      <c r="R85" s="4"/>
      <c r="S85" s="9"/>
      <c r="T85" s="4"/>
      <c r="U85" s="4"/>
      <c r="V85" s="4"/>
      <c r="X85" s="4"/>
      <c r="Y85" s="4"/>
    </row>
    <row r="86">
      <c r="A86" s="4"/>
      <c r="B86" s="4"/>
      <c r="C86" s="4"/>
      <c r="D86" s="4"/>
      <c r="E86" s="4"/>
      <c r="F86" s="4"/>
      <c r="G86" s="4"/>
      <c r="H86" s="4"/>
      <c r="I86" s="7"/>
      <c r="J86" s="7"/>
      <c r="K86" s="4"/>
      <c r="L86" s="4"/>
      <c r="M86" s="4"/>
      <c r="N86" s="4"/>
      <c r="O86" s="4"/>
      <c r="P86" s="4"/>
      <c r="Q86" s="4"/>
      <c r="R86" s="4"/>
      <c r="S86" s="9"/>
      <c r="T86" s="4"/>
      <c r="U86" s="4"/>
      <c r="V86" s="4"/>
      <c r="X86" s="4"/>
      <c r="Y86" s="4"/>
    </row>
    <row r="87">
      <c r="A87" s="4"/>
      <c r="B87" s="4"/>
      <c r="C87" s="4"/>
      <c r="D87" s="4"/>
      <c r="E87" s="4"/>
      <c r="F87" s="4"/>
      <c r="G87" s="4"/>
      <c r="H87" s="4"/>
      <c r="I87" s="7"/>
      <c r="J87" s="7"/>
      <c r="K87" s="4"/>
      <c r="L87" s="4"/>
      <c r="M87" s="4"/>
      <c r="N87" s="4"/>
      <c r="O87" s="4"/>
      <c r="P87" s="4"/>
      <c r="Q87" s="4"/>
      <c r="R87" s="4"/>
      <c r="S87" s="9"/>
      <c r="T87" s="4"/>
      <c r="U87" s="4"/>
      <c r="V87" s="4"/>
      <c r="X87" s="4"/>
      <c r="Y87" s="4"/>
    </row>
    <row r="88">
      <c r="A88" s="4"/>
      <c r="B88" s="4"/>
      <c r="C88" s="4"/>
      <c r="D88" s="4"/>
      <c r="E88" s="4"/>
      <c r="F88" s="4"/>
      <c r="G88" s="4"/>
      <c r="H88" s="4"/>
      <c r="I88" s="7"/>
      <c r="J88" s="7"/>
      <c r="K88" s="4"/>
      <c r="L88" s="4"/>
      <c r="M88" s="4"/>
      <c r="N88" s="4"/>
      <c r="O88" s="4"/>
      <c r="P88" s="4"/>
      <c r="Q88" s="4"/>
      <c r="R88" s="4"/>
      <c r="S88" s="9"/>
      <c r="T88" s="4"/>
      <c r="U88" s="4"/>
      <c r="V88" s="4"/>
      <c r="X88" s="4"/>
      <c r="Y88" s="4"/>
    </row>
    <row r="89">
      <c r="A89" s="4"/>
      <c r="B89" s="4"/>
      <c r="C89" s="4"/>
      <c r="D89" s="4"/>
      <c r="E89" s="4"/>
      <c r="F89" s="4"/>
      <c r="G89" s="4"/>
      <c r="H89" s="4"/>
      <c r="I89" s="7"/>
      <c r="J89" s="7"/>
      <c r="K89" s="4"/>
      <c r="L89" s="4"/>
      <c r="M89" s="4"/>
      <c r="N89" s="4"/>
      <c r="O89" s="4"/>
      <c r="P89" s="4"/>
      <c r="Q89" s="4"/>
      <c r="R89" s="4"/>
      <c r="S89" s="9"/>
      <c r="T89" s="4"/>
      <c r="U89" s="4"/>
      <c r="V89" s="4"/>
      <c r="X89" s="4"/>
      <c r="Y89" s="4"/>
    </row>
    <row r="90">
      <c r="A90" s="4"/>
      <c r="B90" s="4"/>
      <c r="C90" s="4"/>
      <c r="D90" s="4"/>
      <c r="E90" s="4"/>
      <c r="F90" s="4"/>
      <c r="G90" s="4"/>
      <c r="H90" s="4"/>
      <c r="I90" s="7"/>
      <c r="J90" s="7"/>
      <c r="K90" s="4"/>
      <c r="L90" s="4"/>
      <c r="M90" s="4"/>
      <c r="N90" s="4"/>
      <c r="O90" s="4"/>
      <c r="P90" s="4"/>
      <c r="Q90" s="4"/>
      <c r="R90" s="4"/>
      <c r="S90" s="9"/>
      <c r="T90" s="4"/>
      <c r="U90" s="4"/>
      <c r="V90" s="4"/>
      <c r="X90" s="4"/>
      <c r="Y90" s="4"/>
    </row>
    <row r="91">
      <c r="A91" s="4"/>
      <c r="B91" s="4"/>
      <c r="C91" s="4"/>
      <c r="D91" s="4"/>
      <c r="E91" s="4"/>
      <c r="F91" s="4"/>
      <c r="G91" s="4"/>
      <c r="H91" s="4"/>
      <c r="I91" s="7"/>
      <c r="J91" s="7"/>
      <c r="K91" s="4"/>
      <c r="L91" s="4"/>
      <c r="M91" s="4"/>
      <c r="N91" s="4"/>
      <c r="O91" s="4"/>
      <c r="P91" s="4"/>
      <c r="Q91" s="4"/>
      <c r="R91" s="4"/>
      <c r="S91" s="9"/>
      <c r="T91" s="4"/>
      <c r="U91" s="4"/>
      <c r="V91" s="4"/>
      <c r="X91" s="4"/>
      <c r="Y91" s="4"/>
    </row>
    <row r="92">
      <c r="A92" s="4"/>
      <c r="B92" s="4"/>
      <c r="C92" s="4"/>
      <c r="D92" s="4"/>
      <c r="E92" s="4"/>
      <c r="F92" s="4"/>
      <c r="G92" s="4"/>
      <c r="H92" s="4"/>
      <c r="I92" s="7"/>
      <c r="J92" s="7"/>
      <c r="K92" s="4"/>
      <c r="L92" s="4"/>
      <c r="M92" s="4"/>
      <c r="N92" s="4"/>
      <c r="O92" s="4"/>
      <c r="P92" s="4"/>
      <c r="Q92" s="4"/>
      <c r="R92" s="4"/>
      <c r="S92" s="9"/>
      <c r="T92" s="4"/>
      <c r="U92" s="4"/>
      <c r="V92" s="4"/>
      <c r="X92" s="4"/>
      <c r="Y92" s="4"/>
    </row>
    <row r="93">
      <c r="A93" s="4"/>
      <c r="B93" s="4"/>
      <c r="C93" s="4"/>
      <c r="D93" s="4"/>
      <c r="E93" s="4"/>
      <c r="F93" s="4"/>
      <c r="G93" s="4"/>
      <c r="H93" s="4"/>
      <c r="I93" s="7"/>
      <c r="J93" s="7"/>
      <c r="K93" s="4"/>
      <c r="L93" s="4"/>
      <c r="M93" s="4"/>
      <c r="N93" s="4"/>
      <c r="O93" s="4"/>
      <c r="P93" s="4"/>
      <c r="Q93" s="4"/>
      <c r="R93" s="4"/>
      <c r="S93" s="9"/>
      <c r="T93" s="4"/>
      <c r="U93" s="4"/>
      <c r="V93" s="4"/>
      <c r="X93" s="4"/>
      <c r="Y93" s="4"/>
    </row>
    <row r="94">
      <c r="A94" s="4"/>
      <c r="B94" s="4"/>
      <c r="C94" s="4"/>
      <c r="D94" s="4"/>
      <c r="E94" s="4"/>
      <c r="F94" s="4"/>
      <c r="G94" s="4"/>
      <c r="H94" s="4"/>
      <c r="I94" s="7"/>
      <c r="J94" s="7"/>
      <c r="K94" s="4"/>
      <c r="L94" s="4"/>
      <c r="M94" s="4"/>
      <c r="N94" s="4"/>
      <c r="O94" s="4"/>
      <c r="P94" s="4"/>
      <c r="Q94" s="4"/>
      <c r="R94" s="4"/>
      <c r="S94" s="9"/>
      <c r="T94" s="4"/>
      <c r="U94" s="4"/>
      <c r="V94" s="4"/>
      <c r="X94" s="4"/>
      <c r="Y94" s="4"/>
    </row>
    <row r="95">
      <c r="A95" s="4"/>
      <c r="B95" s="4"/>
      <c r="C95" s="4"/>
      <c r="D95" s="4"/>
      <c r="E95" s="4"/>
      <c r="F95" s="4"/>
      <c r="G95" s="4"/>
      <c r="H95" s="4"/>
      <c r="I95" s="7"/>
      <c r="J95" s="7"/>
      <c r="K95" s="4"/>
      <c r="L95" s="4"/>
      <c r="M95" s="4"/>
      <c r="N95" s="4"/>
      <c r="O95" s="4"/>
      <c r="P95" s="4"/>
      <c r="Q95" s="4"/>
      <c r="R95" s="4"/>
      <c r="S95" s="9"/>
      <c r="T95" s="4"/>
      <c r="U95" s="4"/>
      <c r="V95" s="4"/>
      <c r="X95" s="4"/>
      <c r="Y95" s="4"/>
    </row>
    <row r="96">
      <c r="A96" s="4"/>
      <c r="B96" s="4"/>
      <c r="C96" s="4"/>
      <c r="D96" s="4"/>
      <c r="E96" s="4"/>
      <c r="F96" s="4"/>
      <c r="G96" s="4"/>
      <c r="H96" s="4"/>
      <c r="I96" s="7"/>
      <c r="J96" s="7"/>
      <c r="K96" s="4"/>
      <c r="L96" s="4"/>
      <c r="M96" s="4"/>
      <c r="N96" s="4"/>
      <c r="O96" s="4"/>
      <c r="P96" s="4"/>
      <c r="Q96" s="4"/>
      <c r="R96" s="4"/>
      <c r="S96" s="9"/>
      <c r="T96" s="4"/>
      <c r="U96" s="4"/>
      <c r="V96" s="4"/>
      <c r="X96" s="4"/>
      <c r="Y96" s="4"/>
    </row>
    <row r="97">
      <c r="A97" s="4"/>
      <c r="B97" s="4"/>
      <c r="C97" s="4"/>
      <c r="D97" s="4"/>
      <c r="E97" s="4"/>
      <c r="F97" s="4"/>
      <c r="G97" s="4"/>
      <c r="H97" s="4"/>
      <c r="I97" s="7"/>
      <c r="J97" s="7"/>
      <c r="K97" s="4"/>
      <c r="L97" s="4"/>
      <c r="M97" s="4"/>
      <c r="N97" s="4"/>
      <c r="O97" s="4"/>
      <c r="P97" s="4"/>
      <c r="Q97" s="4"/>
      <c r="R97" s="4"/>
      <c r="S97" s="9"/>
      <c r="T97" s="4"/>
      <c r="U97" s="4"/>
      <c r="V97" s="4"/>
      <c r="X97" s="4"/>
      <c r="Y97" s="4"/>
    </row>
    <row r="98">
      <c r="A98" s="4"/>
      <c r="B98" s="4"/>
      <c r="C98" s="4"/>
      <c r="D98" s="4"/>
      <c r="E98" s="4"/>
      <c r="F98" s="4"/>
      <c r="G98" s="4"/>
      <c r="H98" s="4"/>
      <c r="I98" s="7"/>
      <c r="J98" s="7"/>
      <c r="K98" s="4"/>
      <c r="L98" s="4"/>
      <c r="M98" s="4"/>
      <c r="N98" s="4"/>
      <c r="O98" s="4"/>
      <c r="P98" s="4"/>
      <c r="Q98" s="4"/>
      <c r="R98" s="4"/>
      <c r="S98" s="9"/>
      <c r="T98" s="4"/>
      <c r="U98" s="4"/>
      <c r="V98" s="4"/>
      <c r="X98" s="4"/>
      <c r="Y98" s="4"/>
    </row>
    <row r="99">
      <c r="A99" s="4"/>
      <c r="B99" s="4"/>
      <c r="C99" s="4"/>
      <c r="D99" s="4"/>
      <c r="E99" s="4"/>
      <c r="F99" s="4"/>
      <c r="G99" s="4"/>
      <c r="H99" s="4"/>
      <c r="I99" s="7"/>
      <c r="J99" s="7"/>
      <c r="K99" s="4"/>
      <c r="L99" s="4"/>
      <c r="M99" s="4"/>
      <c r="N99" s="4"/>
      <c r="O99" s="4"/>
      <c r="P99" s="4"/>
      <c r="Q99" s="4"/>
      <c r="R99" s="4"/>
      <c r="S99" s="9"/>
      <c r="T99" s="4"/>
      <c r="U99" s="4"/>
      <c r="V99" s="4"/>
      <c r="X99" s="4"/>
      <c r="Y99" s="4"/>
    </row>
    <row r="100">
      <c r="A100" s="4"/>
      <c r="B100" s="4"/>
      <c r="C100" s="4"/>
      <c r="D100" s="4"/>
      <c r="E100" s="4"/>
      <c r="F100" s="4"/>
      <c r="G100" s="4"/>
      <c r="H100" s="4"/>
      <c r="I100" s="7"/>
      <c r="J100" s="7"/>
      <c r="K100" s="4"/>
      <c r="L100" s="4"/>
      <c r="M100" s="4"/>
      <c r="N100" s="4"/>
      <c r="O100" s="4"/>
      <c r="P100" s="4"/>
      <c r="Q100" s="4"/>
      <c r="R100" s="4"/>
      <c r="S100" s="9"/>
      <c r="T100" s="4"/>
      <c r="U100" s="4"/>
      <c r="V100" s="4"/>
      <c r="X100" s="4"/>
      <c r="Y100" s="4"/>
    </row>
    <row r="101">
      <c r="A101" s="4"/>
      <c r="B101" s="4"/>
      <c r="C101" s="4"/>
      <c r="D101" s="4"/>
      <c r="E101" s="4"/>
      <c r="F101" s="4"/>
      <c r="G101" s="4"/>
      <c r="H101" s="4"/>
      <c r="I101" s="7"/>
      <c r="J101" s="7"/>
      <c r="K101" s="4"/>
      <c r="L101" s="4"/>
      <c r="M101" s="4"/>
      <c r="N101" s="4"/>
      <c r="O101" s="4"/>
      <c r="P101" s="4"/>
      <c r="Q101" s="4"/>
      <c r="R101" s="4"/>
      <c r="S101" s="9"/>
      <c r="T101" s="4"/>
      <c r="U101" s="4"/>
      <c r="V101" s="4"/>
      <c r="X101" s="4"/>
      <c r="Y101" s="4"/>
    </row>
    <row r="102">
      <c r="A102" s="4"/>
      <c r="B102" s="4"/>
      <c r="C102" s="4"/>
      <c r="D102" s="4"/>
      <c r="E102" s="4"/>
      <c r="F102" s="4"/>
      <c r="G102" s="4"/>
      <c r="H102" s="4"/>
      <c r="I102" s="7"/>
      <c r="J102" s="7"/>
      <c r="K102" s="4"/>
      <c r="L102" s="4"/>
      <c r="M102" s="4"/>
      <c r="N102" s="4"/>
      <c r="O102" s="4"/>
      <c r="P102" s="4"/>
      <c r="Q102" s="4"/>
      <c r="R102" s="4"/>
      <c r="S102" s="9"/>
      <c r="T102" s="4"/>
      <c r="U102" s="4"/>
      <c r="V102" s="4"/>
      <c r="X102" s="4"/>
      <c r="Y102" s="4"/>
    </row>
    <row r="103">
      <c r="A103" s="4"/>
      <c r="B103" s="4"/>
      <c r="C103" s="4"/>
      <c r="D103" s="4"/>
      <c r="E103" s="4"/>
      <c r="F103" s="4"/>
      <c r="G103" s="4"/>
      <c r="H103" s="4"/>
      <c r="I103" s="7"/>
      <c r="J103" s="7"/>
      <c r="K103" s="4"/>
      <c r="L103" s="4"/>
      <c r="M103" s="4"/>
      <c r="N103" s="4"/>
      <c r="O103" s="4"/>
      <c r="P103" s="4"/>
      <c r="Q103" s="4"/>
      <c r="R103" s="4"/>
      <c r="S103" s="9"/>
      <c r="T103" s="4"/>
      <c r="U103" s="4"/>
      <c r="V103" s="4"/>
      <c r="X103" s="4"/>
      <c r="Y103" s="4"/>
    </row>
    <row r="104">
      <c r="A104" s="4"/>
      <c r="B104" s="4"/>
      <c r="C104" s="4"/>
      <c r="D104" s="4"/>
      <c r="E104" s="4"/>
      <c r="F104" s="4"/>
      <c r="G104" s="4"/>
      <c r="H104" s="4"/>
      <c r="I104" s="7"/>
      <c r="J104" s="7"/>
      <c r="K104" s="4"/>
      <c r="L104" s="4"/>
      <c r="M104" s="4"/>
      <c r="N104" s="4"/>
      <c r="O104" s="4"/>
      <c r="P104" s="4"/>
      <c r="Q104" s="4"/>
      <c r="R104" s="4"/>
      <c r="S104" s="9"/>
      <c r="T104" s="4"/>
      <c r="U104" s="4"/>
      <c r="V104" s="4"/>
      <c r="X104" s="4"/>
      <c r="Y104" s="4"/>
    </row>
    <row r="105">
      <c r="A105" s="4"/>
      <c r="B105" s="4"/>
      <c r="C105" s="4"/>
      <c r="D105" s="4"/>
      <c r="E105" s="4"/>
      <c r="F105" s="4"/>
      <c r="G105" s="4"/>
      <c r="H105" s="4"/>
      <c r="I105" s="7"/>
      <c r="J105" s="7"/>
      <c r="K105" s="4"/>
      <c r="L105" s="4"/>
      <c r="M105" s="4"/>
      <c r="N105" s="4"/>
      <c r="O105" s="4"/>
      <c r="P105" s="4"/>
      <c r="Q105" s="4"/>
      <c r="R105" s="4"/>
      <c r="S105" s="9"/>
      <c r="T105" s="4"/>
      <c r="U105" s="4"/>
      <c r="V105" s="4"/>
      <c r="X105" s="4"/>
      <c r="Y105" s="4"/>
    </row>
    <row r="106">
      <c r="A106" s="4"/>
      <c r="B106" s="4"/>
      <c r="C106" s="4"/>
      <c r="D106" s="4"/>
      <c r="E106" s="4"/>
      <c r="F106" s="4"/>
      <c r="G106" s="4"/>
      <c r="H106" s="4"/>
      <c r="I106" s="7"/>
      <c r="J106" s="7"/>
      <c r="K106" s="4"/>
      <c r="L106" s="4"/>
      <c r="M106" s="4"/>
      <c r="N106" s="4"/>
      <c r="O106" s="4"/>
      <c r="P106" s="4"/>
      <c r="Q106" s="4"/>
      <c r="R106" s="4"/>
      <c r="S106" s="9"/>
      <c r="T106" s="4"/>
      <c r="U106" s="4"/>
      <c r="V106" s="4"/>
      <c r="X106" s="4"/>
      <c r="Y106" s="4"/>
    </row>
    <row r="107">
      <c r="A107" s="4"/>
      <c r="B107" s="4"/>
      <c r="C107" s="4"/>
      <c r="D107" s="4"/>
      <c r="E107" s="4"/>
      <c r="F107" s="4"/>
      <c r="G107" s="4"/>
      <c r="H107" s="4"/>
      <c r="I107" s="7"/>
      <c r="J107" s="7"/>
      <c r="K107" s="4"/>
      <c r="L107" s="4"/>
      <c r="M107" s="4"/>
      <c r="N107" s="4"/>
      <c r="O107" s="4"/>
      <c r="P107" s="4"/>
      <c r="Q107" s="4"/>
      <c r="R107" s="4"/>
      <c r="S107" s="9"/>
      <c r="T107" s="4"/>
      <c r="U107" s="4"/>
      <c r="V107" s="4"/>
      <c r="X107" s="4"/>
      <c r="Y107" s="4"/>
    </row>
    <row r="108">
      <c r="A108" s="4"/>
      <c r="B108" s="4"/>
      <c r="C108" s="4"/>
      <c r="D108" s="4"/>
      <c r="E108" s="4"/>
      <c r="F108" s="4"/>
      <c r="G108" s="4"/>
      <c r="H108" s="4"/>
      <c r="I108" s="7"/>
      <c r="J108" s="7"/>
      <c r="K108" s="4"/>
      <c r="L108" s="4"/>
      <c r="M108" s="4"/>
      <c r="N108" s="4"/>
      <c r="O108" s="4"/>
      <c r="P108" s="4"/>
      <c r="Q108" s="4"/>
      <c r="R108" s="4"/>
      <c r="S108" s="9"/>
      <c r="T108" s="4"/>
      <c r="U108" s="4"/>
      <c r="V108" s="4"/>
      <c r="X108" s="4"/>
      <c r="Y108" s="4"/>
    </row>
    <row r="109">
      <c r="A109" s="4"/>
      <c r="B109" s="4"/>
      <c r="C109" s="4"/>
      <c r="D109" s="4"/>
      <c r="E109" s="4"/>
      <c r="F109" s="4"/>
      <c r="G109" s="4"/>
      <c r="H109" s="4"/>
      <c r="I109" s="7"/>
      <c r="J109" s="7"/>
      <c r="K109" s="4"/>
      <c r="L109" s="4"/>
      <c r="M109" s="4"/>
      <c r="N109" s="4"/>
      <c r="O109" s="4"/>
      <c r="P109" s="4"/>
      <c r="Q109" s="4"/>
      <c r="R109" s="4"/>
      <c r="S109" s="9"/>
      <c r="T109" s="4"/>
      <c r="U109" s="4"/>
      <c r="V109" s="4"/>
      <c r="X109" s="4"/>
      <c r="Y109" s="4"/>
    </row>
    <row r="110">
      <c r="A110" s="4"/>
      <c r="B110" s="4"/>
      <c r="C110" s="4"/>
      <c r="D110" s="4"/>
      <c r="E110" s="4"/>
      <c r="F110" s="4"/>
      <c r="G110" s="4"/>
      <c r="H110" s="4"/>
      <c r="I110" s="7"/>
      <c r="J110" s="7"/>
      <c r="K110" s="4"/>
      <c r="L110" s="4"/>
      <c r="M110" s="4"/>
      <c r="N110" s="4"/>
      <c r="O110" s="4"/>
      <c r="P110" s="4"/>
      <c r="Q110" s="4"/>
      <c r="R110" s="4"/>
      <c r="S110" s="9"/>
      <c r="T110" s="4"/>
      <c r="U110" s="4"/>
      <c r="V110" s="4"/>
      <c r="X110" s="4"/>
      <c r="Y110" s="4"/>
    </row>
    <row r="111">
      <c r="A111" s="4"/>
      <c r="B111" s="4"/>
      <c r="C111" s="4"/>
      <c r="D111" s="4"/>
      <c r="E111" s="4"/>
      <c r="F111" s="4"/>
      <c r="G111" s="4"/>
      <c r="H111" s="4"/>
      <c r="I111" s="7"/>
      <c r="J111" s="7"/>
      <c r="K111" s="4"/>
      <c r="L111" s="4"/>
      <c r="M111" s="4"/>
      <c r="N111" s="4"/>
      <c r="O111" s="4"/>
      <c r="P111" s="4"/>
      <c r="Q111" s="4"/>
      <c r="R111" s="4"/>
      <c r="S111" s="9"/>
      <c r="T111" s="4"/>
      <c r="U111" s="4"/>
      <c r="V111" s="4"/>
      <c r="X111" s="4"/>
      <c r="Y111" s="4"/>
    </row>
    <row r="112">
      <c r="A112" s="4"/>
      <c r="B112" s="4"/>
      <c r="C112" s="4"/>
      <c r="D112" s="4"/>
      <c r="E112" s="4"/>
      <c r="F112" s="4"/>
      <c r="G112" s="4"/>
      <c r="H112" s="4"/>
      <c r="I112" s="7"/>
      <c r="J112" s="7"/>
      <c r="K112" s="4"/>
      <c r="L112" s="4"/>
      <c r="M112" s="4"/>
      <c r="N112" s="4"/>
      <c r="O112" s="4"/>
      <c r="P112" s="4"/>
      <c r="Q112" s="4"/>
      <c r="R112" s="4"/>
      <c r="S112" s="9"/>
      <c r="T112" s="4"/>
      <c r="U112" s="4"/>
      <c r="V112" s="4"/>
      <c r="X112" s="4"/>
      <c r="Y112" s="4"/>
    </row>
    <row r="113">
      <c r="A113" s="4"/>
      <c r="B113" s="4"/>
      <c r="C113" s="4"/>
      <c r="D113" s="4"/>
      <c r="E113" s="4"/>
      <c r="F113" s="4"/>
      <c r="G113" s="4"/>
      <c r="H113" s="4"/>
      <c r="I113" s="7"/>
      <c r="J113" s="7"/>
      <c r="K113" s="4"/>
      <c r="L113" s="4"/>
      <c r="M113" s="4"/>
      <c r="N113" s="4"/>
      <c r="O113" s="4"/>
      <c r="P113" s="4"/>
      <c r="Q113" s="4"/>
      <c r="R113" s="4"/>
      <c r="S113" s="9"/>
      <c r="T113" s="4"/>
      <c r="U113" s="4"/>
      <c r="V113" s="4"/>
      <c r="X113" s="4"/>
      <c r="Y113" s="4"/>
    </row>
    <row r="114">
      <c r="A114" s="4"/>
      <c r="B114" s="4"/>
      <c r="C114" s="4"/>
      <c r="D114" s="4"/>
      <c r="E114" s="4"/>
      <c r="F114" s="4"/>
      <c r="G114" s="4"/>
      <c r="H114" s="4"/>
      <c r="I114" s="7"/>
      <c r="J114" s="7"/>
      <c r="K114" s="4"/>
      <c r="L114" s="4"/>
      <c r="M114" s="4"/>
      <c r="N114" s="4"/>
      <c r="O114" s="4"/>
      <c r="P114" s="4"/>
      <c r="Q114" s="4"/>
      <c r="R114" s="4"/>
      <c r="S114" s="9"/>
      <c r="T114" s="4"/>
      <c r="U114" s="4"/>
      <c r="V114" s="4"/>
      <c r="X114" s="4"/>
      <c r="Y114" s="4"/>
    </row>
    <row r="115">
      <c r="A115" s="4"/>
      <c r="B115" s="4"/>
      <c r="C115" s="4"/>
      <c r="D115" s="4"/>
      <c r="E115" s="4"/>
      <c r="F115" s="4"/>
      <c r="G115" s="4"/>
      <c r="H115" s="4"/>
      <c r="I115" s="7"/>
      <c r="J115" s="7"/>
      <c r="K115" s="4"/>
      <c r="L115" s="4"/>
      <c r="M115" s="4"/>
      <c r="N115" s="4"/>
      <c r="O115" s="4"/>
      <c r="P115" s="4"/>
      <c r="Q115" s="4"/>
      <c r="R115" s="4"/>
      <c r="S115" s="9"/>
      <c r="T115" s="4"/>
      <c r="U115" s="4"/>
      <c r="V115" s="4"/>
      <c r="X115" s="4"/>
      <c r="Y115" s="4"/>
    </row>
    <row r="116">
      <c r="A116" s="4"/>
      <c r="B116" s="4"/>
      <c r="C116" s="4"/>
      <c r="D116" s="4"/>
      <c r="E116" s="4"/>
      <c r="F116" s="4"/>
      <c r="G116" s="4"/>
      <c r="H116" s="4"/>
      <c r="I116" s="7"/>
      <c r="J116" s="7"/>
      <c r="K116" s="4"/>
      <c r="L116" s="4"/>
      <c r="M116" s="4"/>
      <c r="N116" s="4"/>
      <c r="O116" s="4"/>
      <c r="P116" s="4"/>
      <c r="Q116" s="4"/>
      <c r="R116" s="4"/>
      <c r="S116" s="9"/>
      <c r="T116" s="4"/>
      <c r="U116" s="4"/>
      <c r="V116" s="4"/>
      <c r="X116" s="4"/>
      <c r="Y116" s="4"/>
    </row>
    <row r="117">
      <c r="A117" s="4"/>
      <c r="B117" s="4"/>
      <c r="C117" s="4"/>
      <c r="D117" s="4"/>
      <c r="E117" s="4"/>
      <c r="F117" s="4"/>
      <c r="G117" s="4"/>
      <c r="H117" s="4"/>
      <c r="I117" s="7"/>
      <c r="J117" s="7"/>
      <c r="K117" s="4"/>
      <c r="L117" s="4"/>
      <c r="M117" s="4"/>
      <c r="N117" s="4"/>
      <c r="O117" s="4"/>
      <c r="P117" s="4"/>
      <c r="Q117" s="4"/>
      <c r="R117" s="4"/>
      <c r="S117" s="9"/>
      <c r="T117" s="4"/>
      <c r="U117" s="4"/>
      <c r="V117" s="4"/>
      <c r="X117" s="4"/>
      <c r="Y117" s="4"/>
    </row>
  </sheetData>
  <mergeCells count="2">
    <mergeCell ref="A4:A8"/>
    <mergeCell ref="A22:A24"/>
  </mergeCells>
  <hyperlinks>
    <hyperlink r:id="rId4" ref="A4"/>
    <hyperlink r:id="rId5" ref="A11"/>
    <hyperlink r:id="rId6" ref="A12"/>
    <hyperlink r:id="rId7" ref="A14"/>
    <hyperlink r:id="rId8" ref="A15"/>
    <hyperlink r:id="rId9" ref="A16"/>
    <hyperlink r:id="rId10" ref="A22"/>
    <hyperlink r:id="rId11" ref="A28"/>
    <hyperlink r:id="rId12" ref="A30"/>
    <hyperlink r:id="rId13" ref="A31"/>
    <hyperlink r:id="rId14" ref="A32"/>
    <hyperlink r:id="rId15" ref="A33"/>
    <hyperlink r:id="rId16" ref="A34"/>
    <hyperlink r:id="rId17" ref="A36"/>
    <hyperlink r:id="rId18" ref="A39"/>
    <hyperlink r:id="rId19" ref="A44"/>
  </hyperlinks>
  <drawing r:id="rId20"/>
  <legacyDrawing r:id="rId2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sheetData>
    <row r="10">
      <c r="G10" s="4">
        <v>2.7778E-7</v>
      </c>
    </row>
    <row r="19">
      <c r="C19" s="25" t="s">
        <v>67</v>
      </c>
      <c r="D19" s="25" t="s">
        <v>68</v>
      </c>
      <c r="E19" s="25" t="s">
        <v>69</v>
      </c>
      <c r="F19" s="25" t="s">
        <v>70</v>
      </c>
    </row>
    <row r="20">
      <c r="A20" s="26" t="s">
        <v>71</v>
      </c>
      <c r="B20" s="27" t="s">
        <v>72</v>
      </c>
      <c r="C20" s="28">
        <v>96100.0</v>
      </c>
      <c r="D20">
        <f t="shared" ref="D20:D21" si="1">C20*1000</f>
        <v>96100000</v>
      </c>
      <c r="E20">
        <f t="shared" ref="E20:E21" si="2">D20/(10^12)</f>
        <v>0.0000961</v>
      </c>
      <c r="F20">
        <f>E20/G10</f>
        <v>345.9572323</v>
      </c>
    </row>
    <row r="21">
      <c r="A21" s="29" t="s">
        <v>73</v>
      </c>
      <c r="B21" s="27" t="s">
        <v>74</v>
      </c>
      <c r="C21" s="30">
        <v>56100.0</v>
      </c>
      <c r="D21">
        <f t="shared" si="1"/>
        <v>56100000</v>
      </c>
      <c r="E21">
        <f t="shared" si="2"/>
        <v>0.0000561</v>
      </c>
      <c r="F21">
        <f>E21/G10</f>
        <v>201.9583843</v>
      </c>
    </row>
    <row r="23">
      <c r="C23">
        <f>C21/C20</f>
        <v>0.5837669095</v>
      </c>
    </row>
  </sheetData>
  <drawing r:id="rId1"/>
</worksheet>
</file>